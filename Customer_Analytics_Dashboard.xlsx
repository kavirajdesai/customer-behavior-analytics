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kavir\Downloads\"/>
    </mc:Choice>
  </mc:AlternateContent>
  <xr:revisionPtr revIDLastSave="0" documentId="13_ncr:1_{5E950423-29B1-48D9-9CC2-BCDDEF59DA5B}" xr6:coauthVersionLast="47" xr6:coauthVersionMax="47" xr10:uidLastSave="{00000000-0000-0000-0000-000000000000}"/>
  <bookViews>
    <workbookView xWindow="-110" yWindow="-110" windowWidth="19420" windowHeight="10420" xr2:uid="{B921937F-EE9B-494A-BCFA-1BDF76B65BF5}"/>
  </bookViews>
  <sheets>
    <sheet name="clean_customer_data" sheetId="2" r:id="rId1"/>
    <sheet name="Pivot Tables" sheetId="3" r:id="rId2"/>
    <sheet name="Dashboard" sheetId="4" r:id="rId3"/>
  </sheets>
  <definedNames>
    <definedName name="ExternalData_1" localSheetId="0" hidden="1">'clean_customer_data'!$A$1:$P$51</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164B0E-4BBA-4BBD-BAA1-680C09D3E7F5}" keepAlive="1" name="Query - clean_customer_data" description="Connection to the 'clean_customer_data' query in the workbook." type="5" refreshedVersion="8" background="1" saveData="1">
    <dbPr connection="Provider=Microsoft.Mashup.OleDb.1;Data Source=$Workbook$;Location=clean_customer_data;Extended Properties=&quot;&quot;" command="SELECT * FROM [clean_customer_data]"/>
  </connection>
</connections>
</file>

<file path=xl/sharedStrings.xml><?xml version="1.0" encoding="utf-8"?>
<sst xmlns="http://schemas.openxmlformats.org/spreadsheetml/2006/main" count="410" uniqueCount="148">
  <si>
    <t>customer_id</t>
  </si>
  <si>
    <t>customer_name</t>
  </si>
  <si>
    <t>age</t>
  </si>
  <si>
    <t>gender</t>
  </si>
  <si>
    <t>region</t>
  </si>
  <si>
    <t>signup_date</t>
  </si>
  <si>
    <t>last_purchase_date</t>
  </si>
  <si>
    <t>total_purchases</t>
  </si>
  <si>
    <t>total_spend</t>
  </si>
  <si>
    <t>avg_order_value</t>
  </si>
  <si>
    <t>product_category</t>
  </si>
  <si>
    <t>email_opens</t>
  </si>
  <si>
    <t>email_clicks</t>
  </si>
  <si>
    <t>loyalty_tier</t>
  </si>
  <si>
    <t>days_since_last_purchase</t>
  </si>
  <si>
    <t>churn_risk</t>
  </si>
  <si>
    <t>C001</t>
  </si>
  <si>
    <t>James Anderson</t>
  </si>
  <si>
    <t>Male</t>
  </si>
  <si>
    <t>Northeast</t>
  </si>
  <si>
    <t>Electronics</t>
  </si>
  <si>
    <t>Gold</t>
  </si>
  <si>
    <t>Low</t>
  </si>
  <si>
    <t>C002</t>
  </si>
  <si>
    <t>Maria Garcia</t>
  </si>
  <si>
    <t>Female</t>
  </si>
  <si>
    <t>Southwest</t>
  </si>
  <si>
    <t>Clothing</t>
  </si>
  <si>
    <t>Silver</t>
  </si>
  <si>
    <t>C003</t>
  </si>
  <si>
    <t>Robert Brown</t>
  </si>
  <si>
    <t>Midwest</t>
  </si>
  <si>
    <t>Home &amp; Garden</t>
  </si>
  <si>
    <t>Platinum</t>
  </si>
  <si>
    <t>Medium</t>
  </si>
  <si>
    <t>C004</t>
  </si>
  <si>
    <t>Linda Davis</t>
  </si>
  <si>
    <t>Southeast</t>
  </si>
  <si>
    <t>Beauty</t>
  </si>
  <si>
    <t>High</t>
  </si>
  <si>
    <t>C005</t>
  </si>
  <si>
    <t>Michael Wilson</t>
  </si>
  <si>
    <t>West</t>
  </si>
  <si>
    <t>Books</t>
  </si>
  <si>
    <t>Bronze</t>
  </si>
  <si>
    <t>C006</t>
  </si>
  <si>
    <t>Patricia Martinez</t>
  </si>
  <si>
    <t>C007</t>
  </si>
  <si>
    <t>David Taylor</t>
  </si>
  <si>
    <t>C008</t>
  </si>
  <si>
    <t>Jennifer Thomas</t>
  </si>
  <si>
    <t>C009</t>
  </si>
  <si>
    <t>William Jackson</t>
  </si>
  <si>
    <t>C010</t>
  </si>
  <si>
    <t>Barbara White</t>
  </si>
  <si>
    <t>C011</t>
  </si>
  <si>
    <t>Christopher Harris</t>
  </si>
  <si>
    <t>Sports</t>
  </si>
  <si>
    <t>C012</t>
  </si>
  <si>
    <t>Susan Clark</t>
  </si>
  <si>
    <t>C013</t>
  </si>
  <si>
    <t>Matthew Lewis</t>
  </si>
  <si>
    <t>C014</t>
  </si>
  <si>
    <t>Karen Robinson</t>
  </si>
  <si>
    <t>C015</t>
  </si>
  <si>
    <t>Anthony Walker</t>
  </si>
  <si>
    <t>C016</t>
  </si>
  <si>
    <t>Lisa Hall</t>
  </si>
  <si>
    <t>C017</t>
  </si>
  <si>
    <t>Mark Allen</t>
  </si>
  <si>
    <t>C018</t>
  </si>
  <si>
    <t>Nancy Young</t>
  </si>
  <si>
    <t>C019</t>
  </si>
  <si>
    <t>Steven King</t>
  </si>
  <si>
    <t>C020</t>
  </si>
  <si>
    <t>Betty Wright</t>
  </si>
  <si>
    <t>C021</t>
  </si>
  <si>
    <t>Paul Scott</t>
  </si>
  <si>
    <t>C022</t>
  </si>
  <si>
    <t>Dorothy Green</t>
  </si>
  <si>
    <t>C023</t>
  </si>
  <si>
    <t>Kenneth Adams</t>
  </si>
  <si>
    <t>C024</t>
  </si>
  <si>
    <t>Sandra Baker</t>
  </si>
  <si>
    <t>C025</t>
  </si>
  <si>
    <t>George Gonzalez</t>
  </si>
  <si>
    <t>C026</t>
  </si>
  <si>
    <t>Helen Nelson</t>
  </si>
  <si>
    <t>C027</t>
  </si>
  <si>
    <t>Joshua Carter</t>
  </si>
  <si>
    <t>C028</t>
  </si>
  <si>
    <t>Donna Mitchell</t>
  </si>
  <si>
    <t>C029</t>
  </si>
  <si>
    <t>Kevin Perez</t>
  </si>
  <si>
    <t>C030</t>
  </si>
  <si>
    <t>Carol Roberts</t>
  </si>
  <si>
    <t>C031</t>
  </si>
  <si>
    <t>Brian Turner</t>
  </si>
  <si>
    <t>C032</t>
  </si>
  <si>
    <t>Ruth Phillips</t>
  </si>
  <si>
    <t>C033</t>
  </si>
  <si>
    <t>Eric Campbell</t>
  </si>
  <si>
    <t>C034</t>
  </si>
  <si>
    <t>Stephanie Parker</t>
  </si>
  <si>
    <t>C035</t>
  </si>
  <si>
    <t>Larry Evans</t>
  </si>
  <si>
    <t>C036</t>
  </si>
  <si>
    <t>Sharon Edwards</t>
  </si>
  <si>
    <t>C037</t>
  </si>
  <si>
    <t>Jeffrey Collins</t>
  </si>
  <si>
    <t>C038</t>
  </si>
  <si>
    <t>Anna Stewart</t>
  </si>
  <si>
    <t>C039</t>
  </si>
  <si>
    <t>Frank Sanchez</t>
  </si>
  <si>
    <t>C040</t>
  </si>
  <si>
    <t>Kimberly Morris</t>
  </si>
  <si>
    <t>C041</t>
  </si>
  <si>
    <t>Raymond Rogers</t>
  </si>
  <si>
    <t>C042</t>
  </si>
  <si>
    <t>Melissa Reed</t>
  </si>
  <si>
    <t>C043</t>
  </si>
  <si>
    <t>Gregory Cook</t>
  </si>
  <si>
    <t>C044</t>
  </si>
  <si>
    <t>Angela Morgan</t>
  </si>
  <si>
    <t>C045</t>
  </si>
  <si>
    <t>Jacob Bell</t>
  </si>
  <si>
    <t>C046</t>
  </si>
  <si>
    <t>Deborah Murphy</t>
  </si>
  <si>
    <t>C047</t>
  </si>
  <si>
    <t>Henry Bailey</t>
  </si>
  <si>
    <t>C048</t>
  </si>
  <si>
    <t>Sarah Rivera</t>
  </si>
  <si>
    <t>C049</t>
  </si>
  <si>
    <t>Walter Cooper</t>
  </si>
  <si>
    <t>C050</t>
  </si>
  <si>
    <t>Jessica Richardson</t>
  </si>
  <si>
    <t>Sum of total_spend</t>
  </si>
  <si>
    <t>Sum of total_purchases</t>
  </si>
  <si>
    <t>Row Labels</t>
  </si>
  <si>
    <t>Grand Total</t>
  </si>
  <si>
    <t>Pivot Table-1</t>
  </si>
  <si>
    <t>Pivot Table-2</t>
  </si>
  <si>
    <t>Pivot Table-3</t>
  </si>
  <si>
    <t>Average of total_spend</t>
  </si>
  <si>
    <t>Pivot Table-4</t>
  </si>
  <si>
    <t>Pivot Table-5</t>
  </si>
  <si>
    <t>Count of customer_id</t>
  </si>
  <si>
    <t>CUSTOMER PURCHASE &amp; ENGAGEMENT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</si>
</sst>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6"/>
      <color theme="1"/>
      <name val="Aptos Narrow"/>
      <family val="2"/>
      <scheme val="minor"/>
    </font>
    <font>
      <sz val="20"/>
      <color theme="1"/>
      <name val="Times New Roman"/>
      <family val="1"/>
    </font>
  </fonts>
  <fills count="3">
    <fill>
      <patternFill patternType="none"/>
    </fill>
    <fill>
      <patternFill patternType="gray125"/>
    </fill>
    <fill>
      <patternFill patternType="solid">
        <fgColor theme="3" tint="0.74999237037263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2" fillId="2" borderId="0" xfId="0" applyFont="1" applyFill="1" applyAlignment="1">
      <alignment horizontal="center"/>
    </xf>
  </cellXfs>
  <cellStyles count="1">
    <cellStyle name="Normal" xfId="0" builtinId="0"/>
  </cellStyles>
  <dxfs count="9">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'clean_customer_data'!$I$2:$I$51</c:f>
              <c:numCache>
                <c:formatCode>General</c:formatCode>
                <c:ptCount val="50"/>
                <c:pt idx="0">
                  <c:v>1240.5</c:v>
                </c:pt>
                <c:pt idx="1">
                  <c:v>430</c:v>
                </c:pt>
                <c:pt idx="2">
                  <c:v>4875</c:v>
                </c:pt>
                <c:pt idx="3">
                  <c:v>610.75</c:v>
                </c:pt>
                <c:pt idx="4">
                  <c:v>189</c:v>
                </c:pt>
                <c:pt idx="5">
                  <c:v>2950</c:v>
                </c:pt>
                <c:pt idx="6">
                  <c:v>6200</c:v>
                </c:pt>
                <c:pt idx="7">
                  <c:v>145</c:v>
                </c:pt>
                <c:pt idx="8">
                  <c:v>3400</c:v>
                </c:pt>
                <c:pt idx="9">
                  <c:v>780</c:v>
                </c:pt>
                <c:pt idx="10">
                  <c:v>2100</c:v>
                </c:pt>
                <c:pt idx="11">
                  <c:v>1120</c:v>
                </c:pt>
                <c:pt idx="12">
                  <c:v>260</c:v>
                </c:pt>
                <c:pt idx="13">
                  <c:v>8750</c:v>
                </c:pt>
                <c:pt idx="14">
                  <c:v>540</c:v>
                </c:pt>
                <c:pt idx="15">
                  <c:v>2680</c:v>
                </c:pt>
                <c:pt idx="16">
                  <c:v>310</c:v>
                </c:pt>
                <c:pt idx="17">
                  <c:v>10200</c:v>
                </c:pt>
                <c:pt idx="18">
                  <c:v>890</c:v>
                </c:pt>
                <c:pt idx="19">
                  <c:v>175</c:v>
                </c:pt>
                <c:pt idx="20">
                  <c:v>1580</c:v>
                </c:pt>
                <c:pt idx="21">
                  <c:v>690</c:v>
                </c:pt>
                <c:pt idx="22">
                  <c:v>5100</c:v>
                </c:pt>
                <c:pt idx="23">
                  <c:v>225</c:v>
                </c:pt>
                <c:pt idx="24">
                  <c:v>2800</c:v>
                </c:pt>
                <c:pt idx="25">
                  <c:v>7300</c:v>
                </c:pt>
                <c:pt idx="26">
                  <c:v>620</c:v>
                </c:pt>
                <c:pt idx="27">
                  <c:v>1050</c:v>
                </c:pt>
                <c:pt idx="28">
                  <c:v>130</c:v>
                </c:pt>
                <c:pt idx="29">
                  <c:v>9400</c:v>
                </c:pt>
                <c:pt idx="30">
                  <c:v>820</c:v>
                </c:pt>
                <c:pt idx="31">
                  <c:v>2200</c:v>
                </c:pt>
                <c:pt idx="32">
                  <c:v>390</c:v>
                </c:pt>
                <c:pt idx="33">
                  <c:v>5900</c:v>
                </c:pt>
                <c:pt idx="34">
                  <c:v>270</c:v>
                </c:pt>
                <c:pt idx="35">
                  <c:v>1340</c:v>
                </c:pt>
                <c:pt idx="36">
                  <c:v>8100</c:v>
                </c:pt>
                <c:pt idx="37">
                  <c:v>200</c:v>
                </c:pt>
                <c:pt idx="38">
                  <c:v>700</c:v>
                </c:pt>
                <c:pt idx="39">
                  <c:v>9800</c:v>
                </c:pt>
                <c:pt idx="40">
                  <c:v>970</c:v>
                </c:pt>
                <c:pt idx="41">
                  <c:v>98</c:v>
                </c:pt>
                <c:pt idx="42">
                  <c:v>4500</c:v>
                </c:pt>
                <c:pt idx="43">
                  <c:v>2550</c:v>
                </c:pt>
                <c:pt idx="44">
                  <c:v>155</c:v>
                </c:pt>
                <c:pt idx="45">
                  <c:v>880</c:v>
                </c:pt>
                <c:pt idx="46">
                  <c:v>5600</c:v>
                </c:pt>
                <c:pt idx="47">
                  <c:v>460</c:v>
                </c:pt>
                <c:pt idx="48">
                  <c:v>1780</c:v>
                </c:pt>
                <c:pt idx="49">
                  <c:v>240</c:v>
                </c:pt>
              </c:numCache>
            </c:numRef>
          </c:yVal>
          <c:smooth val="0"/>
          <c:extLst>
            <c:ext xmlns:c16="http://schemas.microsoft.com/office/drawing/2014/chart" uri="{C3380CC4-5D6E-409C-BE32-E72D297353CC}">
              <c16:uniqueId val="{00000001-9AB6-42BB-8F1F-F7C66343D2C3}"/>
            </c:ext>
          </c:extLst>
        </c:ser>
        <c:dLbls>
          <c:showLegendKey val="0"/>
          <c:showVal val="0"/>
          <c:showCatName val="0"/>
          <c:showSerName val="0"/>
          <c:showPercent val="0"/>
          <c:showBubbleSize val="0"/>
        </c:dLbls>
        <c:axId val="1783757471"/>
        <c:axId val="1783745951"/>
      </c:scatterChart>
      <c:valAx>
        <c:axId val="178375747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45951"/>
        <c:crosses val="autoZero"/>
        <c:crossBetween val="midCat"/>
      </c:valAx>
      <c:valAx>
        <c:axId val="178374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574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Midwest</c:v>
                </c:pt>
                <c:pt idx="1">
                  <c:v>Northeast</c:v>
                </c:pt>
                <c:pt idx="2">
                  <c:v>Southeast</c:v>
                </c:pt>
                <c:pt idx="3">
                  <c:v>Southwest</c:v>
                </c:pt>
                <c:pt idx="4">
                  <c:v>West</c:v>
                </c:pt>
              </c:strCache>
            </c:strRef>
          </c:cat>
          <c:val>
            <c:numRef>
              <c:f>'Pivot Tables'!$B$4:$B$9</c:f>
              <c:numCache>
                <c:formatCode>General</c:formatCode>
                <c:ptCount val="5"/>
                <c:pt idx="0">
                  <c:v>224</c:v>
                </c:pt>
                <c:pt idx="1">
                  <c:v>205</c:v>
                </c:pt>
                <c:pt idx="2">
                  <c:v>218</c:v>
                </c:pt>
                <c:pt idx="3">
                  <c:v>182</c:v>
                </c:pt>
                <c:pt idx="4">
                  <c:v>156</c:v>
                </c:pt>
              </c:numCache>
            </c:numRef>
          </c:val>
          <c:extLst>
            <c:ext xmlns:c16="http://schemas.microsoft.com/office/drawing/2014/chart" uri="{C3380CC4-5D6E-409C-BE32-E72D297353CC}">
              <c16:uniqueId val="{00000002-FE2E-4F7D-B21E-FF22FF5D2AA4}"/>
            </c:ext>
          </c:extLst>
        </c:ser>
        <c:dLbls>
          <c:showLegendKey val="0"/>
          <c:showVal val="0"/>
          <c:showCatName val="0"/>
          <c:showSerName val="0"/>
          <c:showPercent val="0"/>
          <c:showBubbleSize val="0"/>
        </c:dLbls>
        <c:gapWidth val="219"/>
        <c:overlap val="-27"/>
        <c:axId val="1539780719"/>
        <c:axId val="1539772079"/>
      </c:barChart>
      <c:catAx>
        <c:axId val="153978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772079"/>
        <c:crosses val="autoZero"/>
        <c:auto val="1"/>
        <c:lblAlgn val="ctr"/>
        <c:lblOffset val="100"/>
        <c:noMultiLvlLbl val="0"/>
      </c:catAx>
      <c:valAx>
        <c:axId val="153977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78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[Spotnana Assessment Dashboard.xlsx]Pivot Tables!PivotTable17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Tables'!$A$21:$A$25</c:f>
              <c:strCache>
                <c:ptCount val="4"/>
                <c:pt idx="0">
                  <c:v>Bronze</c:v>
                </c:pt>
                <c:pt idx="1">
                  <c:v>Gold</c:v>
                </c:pt>
                <c:pt idx="2">
                  <c:v>Platinum</c:v>
                </c:pt>
                <c:pt idx="3">
                  <c:v>Silver</c:v>
                </c:pt>
              </c:strCache>
            </c:strRef>
          </c:cat>
          <c:val>
            <c:numRef>
              <c:f>'Pivot Tables'!$B$21:$B$25</c:f>
              <c:numCache>
                <c:formatCode>General</c:formatCode>
                <c:ptCount val="4"/>
                <c:pt idx="0">
                  <c:v>2787</c:v>
                </c:pt>
                <c:pt idx="1">
                  <c:v>24620.5</c:v>
                </c:pt>
                <c:pt idx="2">
                  <c:v>85725</c:v>
                </c:pt>
                <c:pt idx="3">
                  <c:v>10560.75</c:v>
                </c:pt>
              </c:numCache>
            </c:numRef>
          </c:val>
          <c:extLst>
            <c:ext xmlns:c16="http://schemas.microsoft.com/office/drawing/2014/chart" uri="{C3380CC4-5D6E-409C-BE32-E72D297353CC}">
              <c16:uniqueId val="{00000000-7232-41C7-8EA8-86952E3AED50}"/>
            </c:ext>
          </c:extLst>
        </c:ser>
        <c:dLbls>
          <c:dLblPos val="outEnd"/>
          <c:showLegendKey val="0"/>
          <c:showVal val="1"/>
          <c:showCatName val="0"/>
          <c:showSerName val="0"/>
          <c:showPercent val="0"/>
          <c:showBubbleSize val="0"/>
        </c:dLbls>
        <c:gapWidth val="115"/>
        <c:overlap val="-20"/>
        <c:axId val="1121808831"/>
        <c:axId val="1121809311"/>
      </c:barChart>
      <c:catAx>
        <c:axId val="112180883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809311"/>
        <c:crosses val="autoZero"/>
        <c:auto val="1"/>
        <c:lblAlgn val="ctr"/>
        <c:lblOffset val="100"/>
        <c:noMultiLvlLbl val="0"/>
      </c:catAx>
      <c:valAx>
        <c:axId val="11218093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80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Tables!PivotTable18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Tables'!$B$35</c:f>
              <c:strCache>
                <c:ptCount val="1"/>
                <c:pt idx="0">
                  <c:v>Total</c:v>
                </c:pt>
              </c:strCache>
            </c:strRef>
          </c:tx>
          <c:spPr>
            <a:solidFill>
              <a:schemeClr val="accent1"/>
            </a:solidFill>
            <a:ln>
              <a:noFill/>
            </a:ln>
            <a:effectLst/>
          </c:spPr>
          <c:invertIfNegative val="0"/>
          <c:cat>
            <c:strRef>
              <c:f>'Pivot Tables'!$A$36:$A$41</c:f>
              <c:strCache>
                <c:ptCount val="5"/>
                <c:pt idx="0">
                  <c:v>Midwest</c:v>
                </c:pt>
                <c:pt idx="1">
                  <c:v>Northeast</c:v>
                </c:pt>
                <c:pt idx="2">
                  <c:v>Southeast</c:v>
                </c:pt>
                <c:pt idx="3">
                  <c:v>Southwest</c:v>
                </c:pt>
                <c:pt idx="4">
                  <c:v>West</c:v>
                </c:pt>
              </c:strCache>
            </c:strRef>
          </c:cat>
          <c:val>
            <c:numRef>
              <c:f>'Pivot Tables'!$B$36:$B$41</c:f>
              <c:numCache>
                <c:formatCode>General</c:formatCode>
                <c:ptCount val="5"/>
                <c:pt idx="0">
                  <c:v>2920</c:v>
                </c:pt>
                <c:pt idx="1">
                  <c:v>2186.0500000000002</c:v>
                </c:pt>
                <c:pt idx="2">
                  <c:v>2897.0749999999998</c:v>
                </c:pt>
                <c:pt idx="3">
                  <c:v>2459</c:v>
                </c:pt>
                <c:pt idx="4">
                  <c:v>1907.2</c:v>
                </c:pt>
              </c:numCache>
            </c:numRef>
          </c:val>
          <c:extLst>
            <c:ext xmlns:c16="http://schemas.microsoft.com/office/drawing/2014/chart" uri="{C3380CC4-5D6E-409C-BE32-E72D297353CC}">
              <c16:uniqueId val="{00000000-6401-4EF8-873F-5F57E1431E07}"/>
            </c:ext>
          </c:extLst>
        </c:ser>
        <c:dLbls>
          <c:showLegendKey val="0"/>
          <c:showVal val="0"/>
          <c:showCatName val="0"/>
          <c:showSerName val="0"/>
          <c:showPercent val="0"/>
          <c:showBubbleSize val="0"/>
        </c:dLbls>
        <c:gapWidth val="182"/>
        <c:axId val="1170093087"/>
        <c:axId val="1170092607"/>
      </c:barChart>
      <c:catAx>
        <c:axId val="1170093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092607"/>
        <c:crosses val="autoZero"/>
        <c:auto val="1"/>
        <c:lblAlgn val="ctr"/>
        <c:lblOffset val="100"/>
        <c:noMultiLvlLbl val="0"/>
      </c:catAx>
      <c:valAx>
        <c:axId val="1170092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09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Tables!PivotTable19</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Tables'!$A$52:$A$58</c:f>
              <c:strCache>
                <c:ptCount val="6"/>
                <c:pt idx="0">
                  <c:v>Beauty</c:v>
                </c:pt>
                <c:pt idx="1">
                  <c:v>Books</c:v>
                </c:pt>
                <c:pt idx="2">
                  <c:v>Clothing</c:v>
                </c:pt>
                <c:pt idx="3">
                  <c:v>Electronics</c:v>
                </c:pt>
                <c:pt idx="4">
                  <c:v>Home &amp; Garden</c:v>
                </c:pt>
                <c:pt idx="5">
                  <c:v>Sports</c:v>
                </c:pt>
              </c:strCache>
            </c:strRef>
          </c:cat>
          <c:val>
            <c:numRef>
              <c:f>'Pivot Tables'!$B$52:$B$58</c:f>
              <c:numCache>
                <c:formatCode>General</c:formatCode>
                <c:ptCount val="6"/>
                <c:pt idx="0">
                  <c:v>14378.75</c:v>
                </c:pt>
                <c:pt idx="1">
                  <c:v>1264</c:v>
                </c:pt>
                <c:pt idx="2">
                  <c:v>12970</c:v>
                </c:pt>
                <c:pt idx="3">
                  <c:v>37460.5</c:v>
                </c:pt>
                <c:pt idx="4">
                  <c:v>49325</c:v>
                </c:pt>
                <c:pt idx="5">
                  <c:v>8295</c:v>
                </c:pt>
              </c:numCache>
            </c:numRef>
          </c:val>
          <c:extLst>
            <c:ext xmlns:c16="http://schemas.microsoft.com/office/drawing/2014/chart" uri="{C3380CC4-5D6E-409C-BE32-E72D297353CC}">
              <c16:uniqueId val="{00000000-E005-48B3-B67C-81EE89DF0BB0}"/>
            </c:ext>
          </c:extLst>
        </c:ser>
        <c:dLbls>
          <c:dLblPos val="outEnd"/>
          <c:showLegendKey val="0"/>
          <c:showVal val="1"/>
          <c:showCatName val="0"/>
          <c:showSerName val="0"/>
          <c:showPercent val="0"/>
          <c:showBubbleSize val="0"/>
        </c:dLbls>
        <c:gapWidth val="115"/>
        <c:overlap val="-20"/>
        <c:axId val="1062058927"/>
        <c:axId val="1062063247"/>
      </c:barChart>
      <c:catAx>
        <c:axId val="1062058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063247"/>
        <c:crosses val="autoZero"/>
        <c:auto val="1"/>
        <c:lblAlgn val="ctr"/>
        <c:lblOffset val="100"/>
        <c:noMultiLvlLbl val="0"/>
      </c:catAx>
      <c:valAx>
        <c:axId val="10620632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05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Tables!PivotTable20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Percentage of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Tables'!$B$68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B58-4E47-9FA7-B4DF276470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B58-4E47-9FA7-B4DF2764705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B58-4E47-9FA7-B4DF276470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Tables'!$A$69:$A$72</c:f>
              <c:strCache>
                <c:ptCount val="3"/>
                <c:pt idx="0">
                  <c:v>High</c:v>
                </c:pt>
                <c:pt idx="1">
                  <c:v>Low</c:v>
                </c:pt>
                <c:pt idx="2">
                  <c:v>Medium</c:v>
                </c:pt>
              </c:strCache>
            </c:strRef>
          </c:cat>
          <c:val>
            <c:numRef>
              <c:f>'Pivot Tables'!$B$69:$B$72</c:f>
              <c:numCache>
                <c:formatCode>General</c:formatCode>
                <c:ptCount val="3"/>
                <c:pt idx="0">
                  <c:v>13</c:v>
                </c:pt>
                <c:pt idx="1">
                  <c:v>31</c:v>
                </c:pt>
                <c:pt idx="2">
                  <c:v>6</c:v>
                </c:pt>
              </c:numCache>
            </c:numRef>
          </c:val>
          <c:extLst>
            <c:ext xmlns:c16="http://schemas.microsoft.com/office/drawing/2014/chart" uri="{C3380CC4-5D6E-409C-BE32-E72D297353CC}">
              <c16:uniqueId val="{00000000-28E1-4127-8903-2C8B9FBD0247}"/>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Tables!PivotTable19</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Spend</a:t>
            </a:r>
            <a:r>
              <a:rPr lang="en-US" baseline="0"/>
              <a:t> by Category</a:t>
            </a:r>
            <a:r>
              <a:rPr lang="en-US"/>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Tables'!$A$52:$A$58</c:f>
              <c:strCache>
                <c:ptCount val="6"/>
                <c:pt idx="0">
                  <c:v>Beauty</c:v>
                </c:pt>
                <c:pt idx="1">
                  <c:v>Books</c:v>
                </c:pt>
                <c:pt idx="2">
                  <c:v>Clothing</c:v>
                </c:pt>
                <c:pt idx="3">
                  <c:v>Electronics</c:v>
                </c:pt>
                <c:pt idx="4">
                  <c:v>Home &amp; Garden</c:v>
                </c:pt>
                <c:pt idx="5">
                  <c:v>Sports</c:v>
                </c:pt>
              </c:strCache>
            </c:strRef>
          </c:cat>
          <c:val>
            <c:numRef>
              <c:f>'Pivot Tables'!$B$52:$B$58</c:f>
              <c:numCache>
                <c:formatCode>General</c:formatCode>
                <c:ptCount val="6"/>
                <c:pt idx="0">
                  <c:v>14378.75</c:v>
                </c:pt>
                <c:pt idx="1">
                  <c:v>1264</c:v>
                </c:pt>
                <c:pt idx="2">
                  <c:v>12970</c:v>
                </c:pt>
                <c:pt idx="3">
                  <c:v>37460.5</c:v>
                </c:pt>
                <c:pt idx="4">
                  <c:v>49325</c:v>
                </c:pt>
                <c:pt idx="5">
                  <c:v>8295</c:v>
                </c:pt>
              </c:numCache>
            </c:numRef>
          </c:val>
          <c:extLst>
            <c:ext xmlns:c16="http://schemas.microsoft.com/office/drawing/2014/chart" uri="{C3380CC4-5D6E-409C-BE32-E72D297353CC}">
              <c16:uniqueId val="{00000000-B78A-459F-9A49-735CA12E7D66}"/>
            </c:ext>
          </c:extLst>
        </c:ser>
        <c:dLbls>
          <c:dLblPos val="outEnd"/>
          <c:showLegendKey val="0"/>
          <c:showVal val="1"/>
          <c:showCatName val="0"/>
          <c:showSerName val="0"/>
          <c:showPercent val="0"/>
          <c:showBubbleSize val="0"/>
        </c:dLbls>
        <c:gapWidth val="115"/>
        <c:overlap val="-20"/>
        <c:axId val="1062058927"/>
        <c:axId val="1062063247"/>
      </c:barChart>
      <c:catAx>
        <c:axId val="10620589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063247"/>
        <c:crosses val="autoZero"/>
        <c:auto val="1"/>
        <c:lblAlgn val="ctr"/>
        <c:lblOffset val="100"/>
        <c:noMultiLvlLbl val="0"/>
      </c:catAx>
      <c:valAx>
        <c:axId val="10620632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05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[Spotnana Assessment Dashboard.xlsx]Pivot Tables!PivotTable20</c:name>
    <c:fmtId val="10"/>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Percentage</a:t>
            </a:r>
            <a:r>
              <a:rPr lang="en-US" sz="1200" baseline="0"/>
              <a:t> of Chunk Risk</a:t>
            </a:r>
          </a:p>
          <a:p>
            <a:pPr>
              <a:defRPr sz="1200"/>
            </a:pPr>
            <a:r>
              <a:rPr lang="en-US" sz="1200"/>
              <a:t> of Customers</a:t>
            </a:r>
          </a:p>
        </c:rich>
      </c:tx>
      <c:layout>
        <c:manualLayout>
          <c:xMode val="edge"/>
          <c:yMode val="edge"/>
          <c:x val="0.2482724252491694"/>
          <c:y val="0.13559254460281073"/>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Tables'!$B$68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EF6-4619-93F4-17D9C84BF36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EF6-4619-93F4-17D9C84BF36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EF6-4619-93F4-17D9C84BF3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Tables'!$A$69:$A$72</c:f>
              <c:strCache>
                <c:ptCount val="3"/>
                <c:pt idx="0">
                  <c:v>High</c:v>
                </c:pt>
                <c:pt idx="1">
                  <c:v>Low</c:v>
                </c:pt>
                <c:pt idx="2">
                  <c:v>Medium</c:v>
                </c:pt>
              </c:strCache>
            </c:strRef>
          </c:cat>
          <c:val>
            <c:numRef>
              <c:f>'Pivot Tables'!$B$69:$B$72</c:f>
              <c:numCache>
                <c:formatCode>General</c:formatCode>
                <c:ptCount val="3"/>
                <c:pt idx="0">
                  <c:v>13</c:v>
                </c:pt>
                <c:pt idx="1">
                  <c:v>31</c:v>
                </c:pt>
                <c:pt idx="2">
                  <c:v>6</c:v>
                </c:pt>
              </c:numCache>
            </c:numRef>
          </c:val>
          <c:extLst>
            <c:ext xmlns:c16="http://schemas.microsoft.com/office/drawing/2014/chart" uri="{C3380CC4-5D6E-409C-BE32-E72D297353CC}">
              <c16:uniqueId val="{00000006-0EF6-4619-93F4-17D9C84BF36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[Spotnana Assessment Dashboard.xlsx]Pivot Tables!PivotTable17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Spend Loyalty</a:t>
            </a:r>
            <a:r>
              <a:rPr lang="en-US" baseline="0"/>
              <a:t> Tier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Tables'!$A$21:$A$25</c:f>
              <c:strCache>
                <c:ptCount val="4"/>
                <c:pt idx="0">
                  <c:v>Bronze</c:v>
                </c:pt>
                <c:pt idx="1">
                  <c:v>Gold</c:v>
                </c:pt>
                <c:pt idx="2">
                  <c:v>Platinum</c:v>
                </c:pt>
                <c:pt idx="3">
                  <c:v>Silver</c:v>
                </c:pt>
              </c:strCache>
            </c:strRef>
          </c:cat>
          <c:val>
            <c:numRef>
              <c:f>'Pivot Tables'!$B$21:$B$25</c:f>
              <c:numCache>
                <c:formatCode>General</c:formatCode>
                <c:ptCount val="4"/>
                <c:pt idx="0">
                  <c:v>2787</c:v>
                </c:pt>
                <c:pt idx="1">
                  <c:v>24620.5</c:v>
                </c:pt>
                <c:pt idx="2">
                  <c:v>85725</c:v>
                </c:pt>
                <c:pt idx="3">
                  <c:v>10560.75</c:v>
                </c:pt>
              </c:numCache>
            </c:numRef>
          </c:val>
          <c:extLst>
            <c:ext xmlns:c16="http://schemas.microsoft.com/office/drawing/2014/chart" uri="{C3380CC4-5D6E-409C-BE32-E72D297353CC}">
              <c16:uniqueId val="{00000000-3373-4043-A9FB-8974ABDB4E30}"/>
            </c:ext>
          </c:extLst>
        </c:ser>
        <c:dLbls>
          <c:dLblPos val="outEnd"/>
          <c:showLegendKey val="0"/>
          <c:showVal val="1"/>
          <c:showCatName val="0"/>
          <c:showSerName val="0"/>
          <c:showPercent val="0"/>
          <c:showBubbleSize val="0"/>
        </c:dLbls>
        <c:gapWidth val="115"/>
        <c:overlap val="-20"/>
        <c:axId val="1121808831"/>
        <c:axId val="1121809311"/>
      </c:barChart>
      <c:catAx>
        <c:axId val="112180883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809311"/>
        <c:crosses val="autoZero"/>
        <c:auto val="1"/>
        <c:lblAlgn val="ctr"/>
        <c:lblOffset val="100"/>
        <c:noMultiLvlLbl val="0"/>
      </c:catAx>
      <c:valAx>
        <c:axId val="11218093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80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Total Purchase v/s</a:t>
            </a:r>
            <a:r>
              <a:rPr lang="en-IN" baseline="0"/>
              <a:t> Total Spend</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scatterChart>
        <c:scatterStyle val="lineMarker"/>
        <c:varyColors val="0"/>
        <c:ser>
          <c:idx val="0"/>
          <c:order val="0"/>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strRef>
              <c:f>'clean_customer_data'!$H:$H</c:f>
              <c:strCache>
                <c:ptCount val="51"/>
                <c:pt idx="0">
                  <c:v>total_purchases</c:v>
                </c:pt>
                <c:pt idx="1">
                  <c:v>18</c:v>
                </c:pt>
                <c:pt idx="2">
                  <c:v>7</c:v>
                </c:pt>
                <c:pt idx="3">
                  <c:v>32</c:v>
                </c:pt>
                <c:pt idx="4">
                  <c:v>10</c:v>
                </c:pt>
                <c:pt idx="5">
                  <c:v>4</c:v>
                </c:pt>
                <c:pt idx="6">
                  <c:v>25</c:v>
                </c:pt>
                <c:pt idx="7">
                  <c:v>40</c:v>
                </c:pt>
                <c:pt idx="8">
                  <c:v>3</c:v>
                </c:pt>
                <c:pt idx="9">
                  <c:v>28</c:v>
                </c:pt>
                <c:pt idx="10">
                  <c:v>12</c:v>
                </c:pt>
                <c:pt idx="11">
                  <c:v>20</c:v>
                </c:pt>
                <c:pt idx="12">
                  <c:v>15</c:v>
                </c:pt>
                <c:pt idx="13">
                  <c:v>5</c:v>
                </c:pt>
                <c:pt idx="14">
                  <c:v>50</c:v>
                </c:pt>
                <c:pt idx="15">
                  <c:v>9</c:v>
                </c:pt>
                <c:pt idx="16">
                  <c:v>22</c:v>
                </c:pt>
                <c:pt idx="17">
                  <c:v>6</c:v>
                </c:pt>
                <c:pt idx="18">
                  <c:v>60</c:v>
                </c:pt>
                <c:pt idx="19">
                  <c:v>14</c:v>
                </c:pt>
                <c:pt idx="20">
                  <c:v>4</c:v>
                </c:pt>
                <c:pt idx="21">
                  <c:v>19</c:v>
                </c:pt>
                <c:pt idx="22">
                  <c:v>11</c:v>
                </c:pt>
                <c:pt idx="23">
                  <c:v>35</c:v>
                </c:pt>
                <c:pt idx="24">
                  <c:v>5</c:v>
                </c:pt>
                <c:pt idx="25">
                  <c:v>24</c:v>
                </c:pt>
                <c:pt idx="26">
                  <c:v>42</c:v>
                </c:pt>
                <c:pt idx="27">
                  <c:v>10</c:v>
                </c:pt>
                <c:pt idx="28">
                  <c:v>16</c:v>
                </c:pt>
                <c:pt idx="29">
                  <c:v>3</c:v>
                </c:pt>
                <c:pt idx="30">
                  <c:v>55</c:v>
                </c:pt>
                <c:pt idx="31">
                  <c:v>13</c:v>
                </c:pt>
                <c:pt idx="32">
                  <c:v>21</c:v>
                </c:pt>
                <c:pt idx="33">
                  <c:v>7</c:v>
                </c:pt>
                <c:pt idx="34">
                  <c:v>38</c:v>
                </c:pt>
                <c:pt idx="35">
                  <c:v>5</c:v>
                </c:pt>
                <c:pt idx="36">
                  <c:v>17</c:v>
                </c:pt>
                <c:pt idx="37">
                  <c:v>48</c:v>
                </c:pt>
                <c:pt idx="38">
                  <c:v>4</c:v>
                </c:pt>
                <c:pt idx="39">
                  <c:v>11</c:v>
                </c:pt>
                <c:pt idx="40">
                  <c:v>58</c:v>
                </c:pt>
                <c:pt idx="41">
                  <c:v>15</c:v>
                </c:pt>
                <c:pt idx="42">
                  <c:v>2</c:v>
                </c:pt>
                <c:pt idx="43">
                  <c:v>33</c:v>
                </c:pt>
                <c:pt idx="44">
                  <c:v>23</c:v>
                </c:pt>
                <c:pt idx="45">
                  <c:v>3</c:v>
                </c:pt>
                <c:pt idx="46">
                  <c:v>14</c:v>
                </c:pt>
                <c:pt idx="47">
                  <c:v>36</c:v>
                </c:pt>
                <c:pt idx="48">
                  <c:v>8</c:v>
                </c:pt>
                <c:pt idx="49">
                  <c:v>20</c:v>
                </c:pt>
                <c:pt idx="50">
                  <c:v>5</c:v>
                </c:pt>
              </c:strCache>
            </c:strRef>
          </c:xVal>
          <c:yVal>
            <c:numRef>
              <c:f>'clean_customer_data'!$I:$I</c:f>
              <c:numCache>
                <c:formatCode>General</c:formatCode>
                <c:ptCount val="1048576"/>
                <c:pt idx="0">
                  <c:v>0</c:v>
                </c:pt>
                <c:pt idx="1">
                  <c:v>1240.5</c:v>
                </c:pt>
                <c:pt idx="2">
                  <c:v>430</c:v>
                </c:pt>
                <c:pt idx="3">
                  <c:v>4875</c:v>
                </c:pt>
                <c:pt idx="4">
                  <c:v>610.75</c:v>
                </c:pt>
                <c:pt idx="5">
                  <c:v>189</c:v>
                </c:pt>
                <c:pt idx="6">
                  <c:v>2950</c:v>
                </c:pt>
                <c:pt idx="7">
                  <c:v>6200</c:v>
                </c:pt>
                <c:pt idx="8">
                  <c:v>145</c:v>
                </c:pt>
                <c:pt idx="9">
                  <c:v>3400</c:v>
                </c:pt>
                <c:pt idx="10">
                  <c:v>780</c:v>
                </c:pt>
                <c:pt idx="11">
                  <c:v>2100</c:v>
                </c:pt>
                <c:pt idx="12">
                  <c:v>1120</c:v>
                </c:pt>
                <c:pt idx="13">
                  <c:v>260</c:v>
                </c:pt>
                <c:pt idx="14">
                  <c:v>8750</c:v>
                </c:pt>
                <c:pt idx="15">
                  <c:v>540</c:v>
                </c:pt>
                <c:pt idx="16">
                  <c:v>2680</c:v>
                </c:pt>
                <c:pt idx="17">
                  <c:v>310</c:v>
                </c:pt>
                <c:pt idx="18">
                  <c:v>10200</c:v>
                </c:pt>
                <c:pt idx="19">
                  <c:v>890</c:v>
                </c:pt>
                <c:pt idx="20">
                  <c:v>175</c:v>
                </c:pt>
                <c:pt idx="21">
                  <c:v>1580</c:v>
                </c:pt>
                <c:pt idx="22">
                  <c:v>690</c:v>
                </c:pt>
                <c:pt idx="23">
                  <c:v>5100</c:v>
                </c:pt>
                <c:pt idx="24">
                  <c:v>225</c:v>
                </c:pt>
                <c:pt idx="25">
                  <c:v>2800</c:v>
                </c:pt>
                <c:pt idx="26">
                  <c:v>7300</c:v>
                </c:pt>
                <c:pt idx="27">
                  <c:v>620</c:v>
                </c:pt>
                <c:pt idx="28">
                  <c:v>1050</c:v>
                </c:pt>
                <c:pt idx="29">
                  <c:v>130</c:v>
                </c:pt>
                <c:pt idx="30">
                  <c:v>9400</c:v>
                </c:pt>
                <c:pt idx="31">
                  <c:v>820</c:v>
                </c:pt>
                <c:pt idx="32">
                  <c:v>2200</c:v>
                </c:pt>
                <c:pt idx="33">
                  <c:v>390</c:v>
                </c:pt>
                <c:pt idx="34">
                  <c:v>5900</c:v>
                </c:pt>
                <c:pt idx="35">
                  <c:v>270</c:v>
                </c:pt>
                <c:pt idx="36">
                  <c:v>1340</c:v>
                </c:pt>
                <c:pt idx="37">
                  <c:v>8100</c:v>
                </c:pt>
                <c:pt idx="38">
                  <c:v>200</c:v>
                </c:pt>
                <c:pt idx="39">
                  <c:v>700</c:v>
                </c:pt>
                <c:pt idx="40">
                  <c:v>9800</c:v>
                </c:pt>
                <c:pt idx="41">
                  <c:v>970</c:v>
                </c:pt>
                <c:pt idx="42">
                  <c:v>98</c:v>
                </c:pt>
                <c:pt idx="43">
                  <c:v>4500</c:v>
                </c:pt>
                <c:pt idx="44">
                  <c:v>2550</c:v>
                </c:pt>
                <c:pt idx="45">
                  <c:v>155</c:v>
                </c:pt>
                <c:pt idx="46">
                  <c:v>880</c:v>
                </c:pt>
                <c:pt idx="47">
                  <c:v>5600</c:v>
                </c:pt>
                <c:pt idx="48">
                  <c:v>460</c:v>
                </c:pt>
                <c:pt idx="49">
                  <c:v>1780</c:v>
                </c:pt>
                <c:pt idx="50">
                  <c:v>240</c:v>
                </c:pt>
              </c:numCache>
            </c:numRef>
          </c:yVal>
          <c:smooth val="0"/>
          <c:extLst>
            <c:ext xmlns:c16="http://schemas.microsoft.com/office/drawing/2014/chart" uri="{C3380CC4-5D6E-409C-BE32-E72D297353CC}">
              <c16:uniqueId val="{00000000-6F4B-45E2-B1B0-649BDCBC3FA0}"/>
            </c:ext>
          </c:extLst>
        </c:ser>
        <c:dLbls>
          <c:showLegendKey val="0"/>
          <c:showVal val="0"/>
          <c:showCatName val="0"/>
          <c:showSerName val="0"/>
          <c:showPercent val="0"/>
          <c:showBubbleSize val="0"/>
        </c:dLbls>
        <c:axId val="1623115231"/>
        <c:axId val="1623119071"/>
      </c:scatterChart>
      <c:valAx>
        <c:axId val="1623115231"/>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 Purchase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3119071"/>
        <c:crosses val="autoZero"/>
        <c:crossBetween val="midCat"/>
      </c:valAx>
      <c:valAx>
        <c:axId val="1623119071"/>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a:t>
                </a:r>
                <a:r>
                  <a:rPr lang="en-IN" baseline="0"/>
                  <a:t> Spend</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311523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4">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10</xdr:col>
      <xdr:colOff>257175</xdr:colOff>
      <xdr:row>33</xdr:row>
      <xdr:rowOff>120650</xdr:rowOff>
    </xdr:from>
    <xdr:to>
      <xdr:col>14</xdr:col>
      <xdr:colOff>828675</xdr:colOff>
      <xdr:row>48</xdr:row>
      <xdr:rowOff>101600</xdr:rowOff>
    </xdr:to>
    <xdr:graphicFrame macro="">
      <xdr:nvGraphicFramePr>
        <xdr:cNvPr id="3" name="Chart 2">
          <a:extLst>
            <a:ext uri="{FF2B5EF4-FFF2-40B4-BE49-F238E27FC236}">
              <a16:creationId xmlns:a16="http://schemas.microsoft.com/office/drawing/2014/main" id="{730136F8-C029-83EA-464E-7A596F840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1</xdr:row>
      <xdr:rowOff>19050</xdr:rowOff>
    </xdr:from>
    <xdr:to>
      <xdr:col>11</xdr:col>
      <xdr:colOff>539750</xdr:colOff>
      <xdr:row>12</xdr:row>
      <xdr:rowOff>31750</xdr:rowOff>
    </xdr:to>
    <xdr:graphicFrame macro="">
      <xdr:nvGraphicFramePr>
        <xdr:cNvPr id="2" name="Chart 1">
          <a:extLst>
            <a:ext uri="{FF2B5EF4-FFF2-40B4-BE49-F238E27FC236}">
              <a16:creationId xmlns:a16="http://schemas.microsoft.com/office/drawing/2014/main" id="{C5F86087-1C7B-7AD8-0007-4DF6A7B1D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292100</xdr:colOff>
      <xdr:row>13</xdr:row>
      <xdr:rowOff>139700</xdr:rowOff>
    </xdr:from>
    <xdr:to>
      <xdr:col>10</xdr:col>
      <xdr:colOff>596900</xdr:colOff>
      <xdr:row>28</xdr:row>
      <xdr:rowOff>38100</xdr:rowOff>
    </xdr:to>
    <xdr:graphicFrame macro="">
      <xdr:nvGraphicFramePr>
        <xdr:cNvPr id="3" name="Chart 2">
          <a:extLst>
            <a:ext uri="{FF2B5EF4-FFF2-40B4-BE49-F238E27FC236}">
              <a16:creationId xmlns:a16="http://schemas.microsoft.com/office/drawing/2014/main" id="{297D5355-7C03-22F5-B584-28423F0BF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209550</xdr:colOff>
      <xdr:row>30</xdr:row>
      <xdr:rowOff>120650</xdr:rowOff>
    </xdr:from>
    <xdr:to>
      <xdr:col>10</xdr:col>
      <xdr:colOff>514350</xdr:colOff>
      <xdr:row>45</xdr:row>
      <xdr:rowOff>19050</xdr:rowOff>
    </xdr:to>
    <xdr:graphicFrame macro="">
      <xdr:nvGraphicFramePr>
        <xdr:cNvPr id="4" name="Chart 3">
          <a:extLst>
            <a:ext uri="{FF2B5EF4-FFF2-40B4-BE49-F238E27FC236}">
              <a16:creationId xmlns:a16="http://schemas.microsoft.com/office/drawing/2014/main" id="{50B15A3A-DAE9-A091-A7CD-E9C2F58C0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546100</xdr:colOff>
      <xdr:row>47</xdr:row>
      <xdr:rowOff>152400</xdr:rowOff>
    </xdr:from>
    <xdr:to>
      <xdr:col>10</xdr:col>
      <xdr:colOff>241300</xdr:colOff>
      <xdr:row>62</xdr:row>
      <xdr:rowOff>50800</xdr:rowOff>
    </xdr:to>
    <xdr:graphicFrame macro="">
      <xdr:nvGraphicFramePr>
        <xdr:cNvPr id="5" name="Chart 4">
          <a:extLst>
            <a:ext uri="{FF2B5EF4-FFF2-40B4-BE49-F238E27FC236}">
              <a16:creationId xmlns:a16="http://schemas.microsoft.com/office/drawing/2014/main" id="{617BC8B2-5484-FE40-0A42-67BB39DCD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50800</xdr:colOff>
      <xdr:row>64</xdr:row>
      <xdr:rowOff>127000</xdr:rowOff>
    </xdr:from>
    <xdr:to>
      <xdr:col>10</xdr:col>
      <xdr:colOff>355600</xdr:colOff>
      <xdr:row>79</xdr:row>
      <xdr:rowOff>25400</xdr:rowOff>
    </xdr:to>
    <xdr:graphicFrame macro="">
      <xdr:nvGraphicFramePr>
        <xdr:cNvPr id="6" name="Chart 5">
          <a:extLst>
            <a:ext uri="{FF2B5EF4-FFF2-40B4-BE49-F238E27FC236}">
              <a16:creationId xmlns:a16="http://schemas.microsoft.com/office/drawing/2014/main" id="{02E8972A-2EE0-9FC5-C539-D55DF2A37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12696</xdr:rowOff>
    </xdr:from>
    <xdr:to>
      <xdr:col>6</xdr:col>
      <xdr:colOff>539750</xdr:colOff>
      <xdr:row>23</xdr:row>
      <xdr:rowOff>144458</xdr:rowOff>
    </xdr:to>
    <xdr:graphicFrame macro="">
      <xdr:nvGraphicFramePr>
        <xdr:cNvPr id="2" name="Chart 1">
          <a:extLst>
            <a:ext uri="{FF2B5EF4-FFF2-40B4-BE49-F238E27FC236}">
              <a16:creationId xmlns:a16="http://schemas.microsoft.com/office/drawing/2014/main" id="{6BE1F7C7-EA25-408A-8B4E-53176F524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138108</xdr:rowOff>
    </xdr:from>
    <xdr:to>
      <xdr:col>6</xdr:col>
      <xdr:colOff>539751</xdr:colOff>
      <xdr:row>37</xdr:row>
      <xdr:rowOff>69846</xdr:rowOff>
    </xdr:to>
    <xdr:graphicFrame macro="">
      <xdr:nvGraphicFramePr>
        <xdr:cNvPr id="3" name="Chart 2">
          <a:extLst>
            <a:ext uri="{FF2B5EF4-FFF2-40B4-BE49-F238E27FC236}">
              <a16:creationId xmlns:a16="http://schemas.microsoft.com/office/drawing/2014/main" id="{FB4D1006-AE91-44BB-8A82-0C1859C6E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555625</xdr:colOff>
      <xdr:row>9</xdr:row>
      <xdr:rowOff>171446</xdr:rowOff>
    </xdr:from>
    <xdr:to>
      <xdr:col>16</xdr:col>
      <xdr:colOff>1</xdr:colOff>
      <xdr:row>23</xdr:row>
      <xdr:rowOff>133345</xdr:rowOff>
    </xdr:to>
    <xdr:graphicFrame macro="">
      <xdr:nvGraphicFramePr>
        <xdr:cNvPr id="5" name="Chart 4">
          <a:extLst>
            <a:ext uri="{FF2B5EF4-FFF2-40B4-BE49-F238E27FC236}">
              <a16:creationId xmlns:a16="http://schemas.microsoft.com/office/drawing/2014/main" id="{F969A673-73DA-4BB6-9D65-8EDF7BB73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539750</xdr:colOff>
      <xdr:row>23</xdr:row>
      <xdr:rowOff>138108</xdr:rowOff>
    </xdr:from>
    <xdr:to>
      <xdr:col>16</xdr:col>
      <xdr:colOff>15874</xdr:colOff>
      <xdr:row>37</xdr:row>
      <xdr:rowOff>50796</xdr:rowOff>
    </xdr:to>
    <xdr:graphicFrame macro="">
      <xdr:nvGraphicFramePr>
        <xdr:cNvPr id="6" name="Chart 5">
          <a:extLst>
            <a:ext uri="{FF2B5EF4-FFF2-40B4-BE49-F238E27FC236}">
              <a16:creationId xmlns:a16="http://schemas.microsoft.com/office/drawing/2014/main" id="{40B54A34-538B-47B6-92BF-D8A24BB40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531813</xdr:colOff>
      <xdr:row>10</xdr:row>
      <xdr:rowOff>23811</xdr:rowOff>
    </xdr:from>
    <xdr:to>
      <xdr:col>9</xdr:col>
      <xdr:colOff>571500</xdr:colOff>
      <xdr:row>23</xdr:row>
      <xdr:rowOff>150808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B7A32D6-5A01-4A11-93CE-AE8E6FEA285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14813" y="1822978"/>
              <a:ext cx="1881187" cy="2465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iraj Desai" refreshedDate="46111.268176041667" createdVersion="8" refreshedVersion="8" minRefreshableVersion="3" recordCount="50" xr:uid="{EA7F9496-7B26-4771-9E54-0012424125BE}">
  <cacheSource type="worksheet">
    <worksheetSource name="clean_customer_data"/>
  </cacheSource>
  <cacheFields count="16">
    <cacheField name="customer_id" numFmtId="0">
      <sharedItems count="5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haredItems>
    </cacheField>
    <cacheField name="customer_name" numFmtId="0">
      <sharedItems count="50">
        <s v="James Anderson"/>
        <s v="Maria Garcia"/>
        <s v="Robert Brown"/>
        <s v="Linda Davis"/>
        <s v="Michael Wilson"/>
        <s v="Patricia Martinez"/>
        <s v="David Taylor"/>
        <s v="Jennifer Thomas"/>
        <s v="William Jackson"/>
        <s v="Barbara White"/>
        <s v="Christopher Harris"/>
        <s v="Susan Clark"/>
        <s v="Matthew Lewis"/>
        <s v="Karen Robinson"/>
        <s v="Anthony Walker"/>
        <s v="Lisa Hall"/>
        <s v="Mark Allen"/>
        <s v="Nancy Young"/>
        <s v="Steven King"/>
        <s v="Betty Wright"/>
        <s v="Paul Scott"/>
        <s v="Dorothy Green"/>
        <s v="Kenneth Adams"/>
        <s v="Sandra Baker"/>
        <s v="George Gonzalez"/>
        <s v="Helen Nelson"/>
        <s v="Joshua Carter"/>
        <s v="Donna Mitchell"/>
        <s v="Kevin Perez"/>
        <s v="Carol Roberts"/>
        <s v="Brian Turner"/>
        <s v="Ruth Phillips"/>
        <s v="Eric Campbell"/>
        <s v="Stephanie Parker"/>
        <s v="Larry Evans"/>
        <s v="Sharon Edwards"/>
        <s v="Jeffrey Collins"/>
        <s v="Anna Stewart"/>
        <s v="Frank Sanchez"/>
        <s v="Kimberly Morris"/>
        <s v="Raymond Rogers"/>
        <s v="Melissa Reed"/>
        <s v="Gregory Cook"/>
        <s v="Angela Morgan"/>
        <s v="Jacob Bell"/>
        <s v="Deborah Murphy"/>
        <s v="Henry Bailey"/>
        <s v="Sarah Rivera"/>
        <s v="Walter Cooper"/>
        <s v="Jessica Richardson"/>
      </sharedItems>
    </cacheField>
    <cacheField name="age" numFmtId="0">
      <sharedItems containsSemiMixedTypes="0" containsString="0" containsNumber="1" containsInteger="1" minValue="22" maxValue="62"/>
    </cacheField>
    <cacheField name="gender" numFmtId="0">
      <sharedItems count="2">
        <s v="Male"/>
        <s v="Female"/>
      </sharedItems>
    </cacheField>
    <cacheField name="region" numFmtId="0">
      <sharedItems count="5">
        <s v="Northeast"/>
        <s v="Southwest"/>
        <s v="Midwest"/>
        <s v="Southeast"/>
        <s v="West"/>
      </sharedItems>
    </cacheField>
    <cacheField name="signup_date" numFmtId="14">
      <sharedItems containsSemiMixedTypes="0" containsNonDate="0" containsDate="1" containsString="0" minDate="2018-02-09T00:00:00" maxDate="2023-11-02T00:00:00"/>
    </cacheField>
    <cacheField name="last_purchase_date" numFmtId="14">
      <sharedItems containsSemiMixedTypes="0" containsNonDate="0" containsDate="1" containsString="0" minDate="2024-04-10T00:00:00" maxDate="2024-12-31T00:00:00"/>
    </cacheField>
    <cacheField name="total_purchases" numFmtId="0">
      <sharedItems containsSemiMixedTypes="0" containsString="0" containsNumber="1" containsInteger="1" minValue="2" maxValue="60"/>
    </cacheField>
    <cacheField name="total_spend" numFmtId="0">
      <sharedItems containsSemiMixedTypes="0" containsString="0" containsNumber="1" minValue="98" maxValue="10200"/>
    </cacheField>
    <cacheField name="avg_order_value" numFmtId="0">
      <sharedItems containsSemiMixedTypes="0" containsString="0" containsNumber="1" minValue="43.33" maxValue="175"/>
    </cacheField>
    <cacheField name="product_category" numFmtId="0">
      <sharedItems count="6">
        <s v="Electronics"/>
        <s v="Clothing"/>
        <s v="Home &amp; Garden"/>
        <s v="Beauty"/>
        <s v="Books"/>
        <s v="Sports"/>
      </sharedItems>
    </cacheField>
    <cacheField name="email_opens" numFmtId="0">
      <sharedItems containsSemiMixedTypes="0" containsString="0" containsNumber="1" containsInteger="1" minValue="6" maxValue="100"/>
    </cacheField>
    <cacheField name="email_clicks" numFmtId="0">
      <sharedItems containsSemiMixedTypes="0" containsString="0" containsNumber="1" containsInteger="1" minValue="1" maxValue="45"/>
    </cacheField>
    <cacheField name="loyalty_tier" numFmtId="0">
      <sharedItems count="4">
        <s v="Gold"/>
        <s v="Silver"/>
        <s v="Platinum"/>
        <s v="Bronze"/>
      </sharedItems>
    </cacheField>
    <cacheField name="days_since_last_purchase" numFmtId="0">
      <sharedItems containsSemiMixedTypes="0" containsString="0" containsNumber="1" containsInteger="1" minValue="1" maxValue="265"/>
    </cacheField>
    <cacheField name="churn_risk" numFmtId="0">
      <sharedItems count="3">
        <s v="Low"/>
        <s v="Medium"/>
        <s v="High"/>
      </sharedItems>
    </cacheField>
  </cacheFields>
  <extLst>
    <ext xmlns:x14="http://schemas.microsoft.com/office/spreadsheetml/2009/9/main" uri="{725AE2AE-9491-48be-B2B4-4EB974FC3084}">
      <x14:pivotCacheDefinition pivotCacheId="950961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34"/>
    <x v="0"/>
    <x v="0"/>
    <d v="2021-03-15T00:00:00"/>
    <d v="2024-11-20T00:00:00"/>
    <n v="18"/>
    <n v="1240.5"/>
    <n v="68.92"/>
    <x v="0"/>
    <n v="45"/>
    <n v="12"/>
    <x v="0"/>
    <n v="40"/>
    <x v="0"/>
  </r>
  <r>
    <x v="1"/>
    <x v="1"/>
    <n v="27"/>
    <x v="1"/>
    <x v="1"/>
    <d v="2022-07-01T00:00:00"/>
    <d v="2024-12-10T00:00:00"/>
    <n v="7"/>
    <n v="430"/>
    <n v="61.43"/>
    <x v="1"/>
    <n v="22"/>
    <n v="5"/>
    <x v="1"/>
    <n v="20"/>
    <x v="0"/>
  </r>
  <r>
    <x v="2"/>
    <x v="2"/>
    <n v="52"/>
    <x v="0"/>
    <x v="2"/>
    <d v="2020-01-10T00:00:00"/>
    <d v="2024-09-05T00:00:00"/>
    <n v="32"/>
    <n v="4875"/>
    <n v="152.34"/>
    <x v="2"/>
    <n v="80"/>
    <n v="30"/>
    <x v="2"/>
    <n v="116"/>
    <x v="1"/>
  </r>
  <r>
    <x v="3"/>
    <x v="3"/>
    <n v="41"/>
    <x v="1"/>
    <x v="3"/>
    <d v="2021-11-22T00:00:00"/>
    <d v="2024-08-01T00:00:00"/>
    <n v="10"/>
    <n v="610.75"/>
    <n v="61.08"/>
    <x v="3"/>
    <n v="18"/>
    <n v="3"/>
    <x v="1"/>
    <n v="152"/>
    <x v="2"/>
  </r>
  <r>
    <x v="4"/>
    <x v="4"/>
    <n v="29"/>
    <x v="0"/>
    <x v="4"/>
    <d v="2023-02-14T00:00:00"/>
    <d v="2024-12-28T00:00:00"/>
    <n v="4"/>
    <n v="189"/>
    <n v="47.25"/>
    <x v="4"/>
    <n v="10"/>
    <n v="2"/>
    <x v="3"/>
    <n v="3"/>
    <x v="0"/>
  </r>
  <r>
    <x v="5"/>
    <x v="5"/>
    <n v="36"/>
    <x v="1"/>
    <x v="0"/>
    <d v="2020-06-30T00:00:00"/>
    <d v="2024-10-14T00:00:00"/>
    <n v="25"/>
    <n v="2950"/>
    <n v="118"/>
    <x v="0"/>
    <n v="60"/>
    <n v="20"/>
    <x v="0"/>
    <n v="78"/>
    <x v="0"/>
  </r>
  <r>
    <x v="6"/>
    <x v="6"/>
    <n v="47"/>
    <x v="0"/>
    <x v="3"/>
    <d v="2019-09-18T00:00:00"/>
    <d v="2024-05-30T00:00:00"/>
    <n v="40"/>
    <n v="6200"/>
    <n v="155"/>
    <x v="2"/>
    <n v="90"/>
    <n v="35"/>
    <x v="2"/>
    <n v="215"/>
    <x v="2"/>
  </r>
  <r>
    <x v="7"/>
    <x v="7"/>
    <n v="23"/>
    <x v="1"/>
    <x v="4"/>
    <d v="2023-08-05T00:00:00"/>
    <d v="2024-12-20T00:00:00"/>
    <n v="3"/>
    <n v="145"/>
    <n v="48.33"/>
    <x v="1"/>
    <n v="8"/>
    <n v="1"/>
    <x v="3"/>
    <n v="11"/>
    <x v="0"/>
  </r>
  <r>
    <x v="8"/>
    <x v="8"/>
    <n v="55"/>
    <x v="0"/>
    <x v="2"/>
    <d v="2020-03-25T00:00:00"/>
    <d v="2024-07-22T00:00:00"/>
    <n v="28"/>
    <n v="3400"/>
    <n v="121.43"/>
    <x v="0"/>
    <n v="70"/>
    <n v="25"/>
    <x v="0"/>
    <n v="162"/>
    <x v="2"/>
  </r>
  <r>
    <x v="9"/>
    <x v="9"/>
    <n v="31"/>
    <x v="1"/>
    <x v="1"/>
    <d v="2022-01-17T00:00:00"/>
    <d v="2024-11-05T00:00:00"/>
    <n v="12"/>
    <n v="780"/>
    <n v="65"/>
    <x v="3"/>
    <n v="30"/>
    <n v="8"/>
    <x v="1"/>
    <n v="56"/>
    <x v="0"/>
  </r>
  <r>
    <x v="10"/>
    <x v="10"/>
    <n v="44"/>
    <x v="0"/>
    <x v="0"/>
    <d v="2021-05-09T00:00:00"/>
    <d v="2024-12-01T00:00:00"/>
    <n v="20"/>
    <n v="2100"/>
    <n v="105"/>
    <x v="5"/>
    <n v="50"/>
    <n v="15"/>
    <x v="0"/>
    <n v="30"/>
    <x v="0"/>
  </r>
  <r>
    <x v="11"/>
    <x v="11"/>
    <n v="39"/>
    <x v="1"/>
    <x v="4"/>
    <d v="2020-12-03T00:00:00"/>
    <d v="2024-06-18T00:00:00"/>
    <n v="15"/>
    <n v="1120"/>
    <n v="74.67"/>
    <x v="1"/>
    <n v="35"/>
    <n v="10"/>
    <x v="1"/>
    <n v="196"/>
    <x v="2"/>
  </r>
  <r>
    <x v="12"/>
    <x v="12"/>
    <n v="26"/>
    <x v="0"/>
    <x v="3"/>
    <d v="2023-04-20T00:00:00"/>
    <d v="2024-12-15T00:00:00"/>
    <n v="5"/>
    <n v="260"/>
    <n v="52"/>
    <x v="4"/>
    <n v="12"/>
    <n v="3"/>
    <x v="3"/>
    <n v="16"/>
    <x v="0"/>
  </r>
  <r>
    <x v="13"/>
    <x v="13"/>
    <n v="58"/>
    <x v="1"/>
    <x v="2"/>
    <d v="2019-07-14T00:00:00"/>
    <d v="2024-09-30T00:00:00"/>
    <n v="50"/>
    <n v="8750"/>
    <n v="175"/>
    <x v="2"/>
    <n v="95"/>
    <n v="40"/>
    <x v="2"/>
    <n v="92"/>
    <x v="0"/>
  </r>
  <r>
    <x v="14"/>
    <x v="14"/>
    <n v="33"/>
    <x v="0"/>
    <x v="1"/>
    <d v="2022-09-11T00:00:00"/>
    <d v="2024-10-25T00:00:00"/>
    <n v="9"/>
    <n v="540"/>
    <n v="60"/>
    <x v="5"/>
    <n v="20"/>
    <n v="6"/>
    <x v="1"/>
    <n v="67"/>
    <x v="0"/>
  </r>
  <r>
    <x v="15"/>
    <x v="15"/>
    <n v="48"/>
    <x v="1"/>
    <x v="0"/>
    <d v="2020-08-22T00:00:00"/>
    <d v="2024-04-10T00:00:00"/>
    <n v="22"/>
    <n v="2680"/>
    <n v="121.82"/>
    <x v="3"/>
    <n v="55"/>
    <n v="18"/>
    <x v="0"/>
    <n v="265"/>
    <x v="2"/>
  </r>
  <r>
    <x v="16"/>
    <x v="16"/>
    <n v="30"/>
    <x v="0"/>
    <x v="4"/>
    <d v="2023-01-30T00:00:00"/>
    <d v="2024-12-22T00:00:00"/>
    <n v="6"/>
    <n v="310"/>
    <n v="51.67"/>
    <x v="0"/>
    <n v="15"/>
    <n v="4"/>
    <x v="3"/>
    <n v="9"/>
    <x v="0"/>
  </r>
  <r>
    <x v="17"/>
    <x v="17"/>
    <n v="62"/>
    <x v="1"/>
    <x v="3"/>
    <d v="2018-11-05T00:00:00"/>
    <d v="2024-08-15T00:00:00"/>
    <n v="60"/>
    <n v="10200"/>
    <n v="170"/>
    <x v="2"/>
    <n v="100"/>
    <n v="45"/>
    <x v="2"/>
    <n v="138"/>
    <x v="1"/>
  </r>
  <r>
    <x v="18"/>
    <x v="18"/>
    <n v="37"/>
    <x v="0"/>
    <x v="2"/>
    <d v="2021-10-08T00:00:00"/>
    <d v="2024-11-18T00:00:00"/>
    <n v="14"/>
    <n v="890"/>
    <n v="63.57"/>
    <x v="1"/>
    <n v="28"/>
    <n v="7"/>
    <x v="1"/>
    <n v="43"/>
    <x v="0"/>
  </r>
  <r>
    <x v="19"/>
    <x v="19"/>
    <n v="25"/>
    <x v="1"/>
    <x v="1"/>
    <d v="2023-06-25T00:00:00"/>
    <d v="2024-12-05T00:00:00"/>
    <n v="4"/>
    <n v="175"/>
    <n v="43.75"/>
    <x v="4"/>
    <n v="9"/>
    <n v="1"/>
    <x v="3"/>
    <n v="26"/>
    <x v="0"/>
  </r>
  <r>
    <x v="20"/>
    <x v="20"/>
    <n v="42"/>
    <x v="0"/>
    <x v="0"/>
    <d v="2020-04-17T00:00:00"/>
    <d v="2024-07-08T00:00:00"/>
    <n v="19"/>
    <n v="1580"/>
    <n v="83.16"/>
    <x v="5"/>
    <n v="40"/>
    <n v="11"/>
    <x v="0"/>
    <n v="176"/>
    <x v="2"/>
  </r>
  <r>
    <x v="21"/>
    <x v="21"/>
    <n v="35"/>
    <x v="1"/>
    <x v="4"/>
    <d v="2022-03-12T00:00:00"/>
    <d v="2024-12-18T00:00:00"/>
    <n v="11"/>
    <n v="690"/>
    <n v="62.73"/>
    <x v="3"/>
    <n v="25"/>
    <n v="7"/>
    <x v="1"/>
    <n v="13"/>
    <x v="0"/>
  </r>
  <r>
    <x v="22"/>
    <x v="22"/>
    <n v="51"/>
    <x v="0"/>
    <x v="3"/>
    <d v="2019-12-01T00:00:00"/>
    <d v="2024-06-01T00:00:00"/>
    <n v="35"/>
    <n v="5100"/>
    <n v="145.71"/>
    <x v="0"/>
    <n v="85"/>
    <n v="32"/>
    <x v="2"/>
    <n v="213"/>
    <x v="2"/>
  </r>
  <r>
    <x v="23"/>
    <x v="23"/>
    <n v="28"/>
    <x v="1"/>
    <x v="2"/>
    <d v="2023-05-18T00:00:00"/>
    <d v="2024-12-30T00:00:00"/>
    <n v="5"/>
    <n v="225"/>
    <n v="45"/>
    <x v="1"/>
    <n v="11"/>
    <n v="2"/>
    <x v="3"/>
    <n v="1"/>
    <x v="0"/>
  </r>
  <r>
    <x v="24"/>
    <x v="24"/>
    <n v="46"/>
    <x v="0"/>
    <x v="1"/>
    <d v="2020-10-29T00:00:00"/>
    <d v="2024-09-12T00:00:00"/>
    <n v="24"/>
    <n v="2800"/>
    <n v="116.67"/>
    <x v="2"/>
    <n v="65"/>
    <n v="22"/>
    <x v="0"/>
    <n v="110"/>
    <x v="1"/>
  </r>
  <r>
    <x v="25"/>
    <x v="25"/>
    <n v="53"/>
    <x v="1"/>
    <x v="0"/>
    <d v="2019-08-14T00:00:00"/>
    <d v="2024-05-20T00:00:00"/>
    <n v="42"/>
    <n v="7300"/>
    <n v="173.81"/>
    <x v="3"/>
    <n v="92"/>
    <n v="38"/>
    <x v="2"/>
    <n v="225"/>
    <x v="2"/>
  </r>
  <r>
    <x v="26"/>
    <x v="26"/>
    <n v="31"/>
    <x v="0"/>
    <x v="4"/>
    <d v="2022-11-06T00:00:00"/>
    <d v="2024-11-28T00:00:00"/>
    <n v="10"/>
    <n v="620"/>
    <n v="62"/>
    <x v="5"/>
    <n v="22"/>
    <n v="6"/>
    <x v="1"/>
    <n v="33"/>
    <x v="0"/>
  </r>
  <r>
    <x v="27"/>
    <x v="27"/>
    <n v="40"/>
    <x v="1"/>
    <x v="3"/>
    <d v="2021-02-23T00:00:00"/>
    <d v="2024-10-05T00:00:00"/>
    <n v="16"/>
    <n v="1050"/>
    <n v="65.63"/>
    <x v="1"/>
    <n v="32"/>
    <n v="9"/>
    <x v="1"/>
    <n v="87"/>
    <x v="0"/>
  </r>
  <r>
    <x v="28"/>
    <x v="28"/>
    <n v="24"/>
    <x v="0"/>
    <x v="2"/>
    <d v="2023-09-10T00:00:00"/>
    <d v="2024-12-12T00:00:00"/>
    <n v="3"/>
    <n v="130"/>
    <n v="43.33"/>
    <x v="4"/>
    <n v="7"/>
    <n v="1"/>
    <x v="3"/>
    <n v="19"/>
    <x v="0"/>
  </r>
  <r>
    <x v="29"/>
    <x v="29"/>
    <n v="57"/>
    <x v="1"/>
    <x v="1"/>
    <d v="2018-06-20T00:00:00"/>
    <d v="2024-08-28T00:00:00"/>
    <n v="55"/>
    <n v="9400"/>
    <n v="170.91"/>
    <x v="0"/>
    <n v="98"/>
    <n v="42"/>
    <x v="2"/>
    <n v="125"/>
    <x v="1"/>
  </r>
  <r>
    <x v="30"/>
    <x v="30"/>
    <n v="38"/>
    <x v="0"/>
    <x v="0"/>
    <d v="2021-07-15T00:00:00"/>
    <d v="2024-12-08T00:00:00"/>
    <n v="13"/>
    <n v="820"/>
    <n v="63.08"/>
    <x v="5"/>
    <n v="27"/>
    <n v="7"/>
    <x v="1"/>
    <n v="23"/>
    <x v="0"/>
  </r>
  <r>
    <x v="31"/>
    <x v="31"/>
    <n v="45"/>
    <x v="1"/>
    <x v="4"/>
    <d v="2020-09-04T00:00:00"/>
    <d v="2024-07-14T00:00:00"/>
    <n v="21"/>
    <n v="2200"/>
    <n v="104.76"/>
    <x v="2"/>
    <n v="50"/>
    <n v="16"/>
    <x v="0"/>
    <n v="170"/>
    <x v="2"/>
  </r>
  <r>
    <x v="32"/>
    <x v="32"/>
    <n v="32"/>
    <x v="0"/>
    <x v="3"/>
    <d v="2022-12-28T00:00:00"/>
    <d v="2024-12-26T00:00:00"/>
    <n v="7"/>
    <n v="390"/>
    <n v="55.71"/>
    <x v="0"/>
    <n v="16"/>
    <n v="4"/>
    <x v="3"/>
    <n v="5"/>
    <x v="0"/>
  </r>
  <r>
    <x v="33"/>
    <x v="33"/>
    <n v="49"/>
    <x v="1"/>
    <x v="2"/>
    <d v="2019-05-11T00:00:00"/>
    <d v="2024-09-22T00:00:00"/>
    <n v="38"/>
    <n v="5900"/>
    <n v="155.26"/>
    <x v="1"/>
    <n v="88"/>
    <n v="34"/>
    <x v="2"/>
    <n v="100"/>
    <x v="0"/>
  </r>
  <r>
    <x v="34"/>
    <x v="34"/>
    <n v="27"/>
    <x v="0"/>
    <x v="1"/>
    <d v="2023-03-07T00:00:00"/>
    <d v="2024-11-10T00:00:00"/>
    <n v="5"/>
    <n v="270"/>
    <n v="54"/>
    <x v="4"/>
    <n v="13"/>
    <n v="3"/>
    <x v="3"/>
    <n v="51"/>
    <x v="0"/>
  </r>
  <r>
    <x v="35"/>
    <x v="35"/>
    <n v="43"/>
    <x v="1"/>
    <x v="0"/>
    <d v="2020-11-18T00:00:00"/>
    <d v="2024-10-30T00:00:00"/>
    <n v="17"/>
    <n v="1340"/>
    <n v="78.819999999999993"/>
    <x v="3"/>
    <n v="38"/>
    <n v="11"/>
    <x v="0"/>
    <n v="62"/>
    <x v="0"/>
  </r>
  <r>
    <x v="36"/>
    <x v="36"/>
    <n v="56"/>
    <x v="0"/>
    <x v="4"/>
    <d v="2018-04-25T00:00:00"/>
    <d v="2024-06-25T00:00:00"/>
    <n v="48"/>
    <n v="8100"/>
    <n v="168.75"/>
    <x v="0"/>
    <n v="93"/>
    <n v="39"/>
    <x v="2"/>
    <n v="189"/>
    <x v="2"/>
  </r>
  <r>
    <x v="37"/>
    <x v="37"/>
    <n v="29"/>
    <x v="1"/>
    <x v="3"/>
    <d v="2023-07-14T00:00:00"/>
    <d v="2024-12-24T00:00:00"/>
    <n v="4"/>
    <n v="200"/>
    <n v="50"/>
    <x v="1"/>
    <n v="10"/>
    <n v="2"/>
    <x v="3"/>
    <n v="7"/>
    <x v="0"/>
  </r>
  <r>
    <x v="38"/>
    <x v="38"/>
    <n v="34"/>
    <x v="0"/>
    <x v="2"/>
    <d v="2022-08-03T00:00:00"/>
    <d v="2024-11-02T00:00:00"/>
    <n v="11"/>
    <n v="700"/>
    <n v="63.64"/>
    <x v="5"/>
    <n v="24"/>
    <n v="6"/>
    <x v="1"/>
    <n v="59"/>
    <x v="0"/>
  </r>
  <r>
    <x v="39"/>
    <x v="39"/>
    <n v="61"/>
    <x v="1"/>
    <x v="1"/>
    <d v="2018-02-09T00:00:00"/>
    <d v="2024-07-30T00:00:00"/>
    <n v="58"/>
    <n v="9800"/>
    <n v="168.97"/>
    <x v="2"/>
    <n v="97"/>
    <n v="43"/>
    <x v="2"/>
    <n v="154"/>
    <x v="1"/>
  </r>
  <r>
    <x v="40"/>
    <x v="40"/>
    <n v="36"/>
    <x v="0"/>
    <x v="0"/>
    <d v="2021-09-27T00:00:00"/>
    <d v="2024-08-20T00:00:00"/>
    <n v="15"/>
    <n v="970"/>
    <n v="64.67"/>
    <x v="0"/>
    <n v="33"/>
    <n v="9"/>
    <x v="1"/>
    <n v="133"/>
    <x v="2"/>
  </r>
  <r>
    <x v="41"/>
    <x v="41"/>
    <n v="22"/>
    <x v="1"/>
    <x v="4"/>
    <d v="2023-10-15T00:00:00"/>
    <d v="2024-12-29T00:00:00"/>
    <n v="2"/>
    <n v="98"/>
    <n v="49"/>
    <x v="3"/>
    <n v="6"/>
    <n v="1"/>
    <x v="3"/>
    <n v="2"/>
    <x v="0"/>
  </r>
  <r>
    <x v="42"/>
    <x v="42"/>
    <n v="50"/>
    <x v="0"/>
    <x v="3"/>
    <d v="2019-03-08T00:00:00"/>
    <d v="2024-05-15T00:00:00"/>
    <n v="33"/>
    <n v="4500"/>
    <n v="136.36000000000001"/>
    <x v="2"/>
    <n v="82"/>
    <n v="31"/>
    <x v="2"/>
    <n v="230"/>
    <x v="2"/>
  </r>
  <r>
    <x v="43"/>
    <x v="43"/>
    <n v="44"/>
    <x v="1"/>
    <x v="2"/>
    <d v="2020-07-21T00:00:00"/>
    <d v="2024-12-03T00:00:00"/>
    <n v="23"/>
    <n v="2550"/>
    <n v="110.87"/>
    <x v="1"/>
    <n v="55"/>
    <n v="17"/>
    <x v="0"/>
    <n v="28"/>
    <x v="0"/>
  </r>
  <r>
    <x v="44"/>
    <x v="44"/>
    <n v="25"/>
    <x v="0"/>
    <x v="1"/>
    <d v="2023-11-01T00:00:00"/>
    <d v="2024-12-27T00:00:00"/>
    <n v="3"/>
    <n v="155"/>
    <n v="51.67"/>
    <x v="5"/>
    <n v="8"/>
    <n v="2"/>
    <x v="3"/>
    <n v="4"/>
    <x v="0"/>
  </r>
  <r>
    <x v="45"/>
    <x v="45"/>
    <n v="38"/>
    <x v="1"/>
    <x v="0"/>
    <d v="2021-04-13T00:00:00"/>
    <d v="2024-09-18T00:00:00"/>
    <n v="14"/>
    <n v="880"/>
    <n v="62.86"/>
    <x v="3"/>
    <n v="29"/>
    <n v="8"/>
    <x v="1"/>
    <n v="104"/>
    <x v="1"/>
  </r>
  <r>
    <x v="46"/>
    <x v="46"/>
    <n v="53"/>
    <x v="0"/>
    <x v="4"/>
    <d v="2019-10-30T00:00:00"/>
    <d v="2024-07-05T00:00:00"/>
    <n v="36"/>
    <n v="5600"/>
    <n v="155.56"/>
    <x v="0"/>
    <n v="86"/>
    <n v="33"/>
    <x v="2"/>
    <n v="179"/>
    <x v="2"/>
  </r>
  <r>
    <x v="47"/>
    <x v="47"/>
    <n v="30"/>
    <x v="1"/>
    <x v="3"/>
    <d v="2022-06-19T00:00:00"/>
    <d v="2024-12-16T00:00:00"/>
    <n v="8"/>
    <n v="460"/>
    <n v="57.5"/>
    <x v="1"/>
    <n v="18"/>
    <n v="4"/>
    <x v="1"/>
    <n v="15"/>
    <x v="0"/>
  </r>
  <r>
    <x v="48"/>
    <x v="48"/>
    <n v="41"/>
    <x v="0"/>
    <x v="2"/>
    <d v="2020-02-14T00:00:00"/>
    <d v="2024-10-08T00:00:00"/>
    <n v="20"/>
    <n v="1780"/>
    <n v="89"/>
    <x v="5"/>
    <n v="45"/>
    <n v="13"/>
    <x v="0"/>
    <n v="84"/>
    <x v="0"/>
  </r>
  <r>
    <x v="49"/>
    <x v="49"/>
    <n v="26"/>
    <x v="1"/>
    <x v="1"/>
    <d v="2023-01-22T00:00:00"/>
    <d v="2024-12-21T00:00:00"/>
    <n v="5"/>
    <n v="240"/>
    <n v="48"/>
    <x v="4"/>
    <n v="11"/>
    <n v="3"/>
    <x v="3"/>
    <n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1043C7-764F-476F-856B-57E3B6E081B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C99" firstHeaderRow="1" firstDataRow="1" firstDataCol="0"/>
  <pivotFields count="16">
    <pivotField showAll="0"/>
    <pivotField showAll="0"/>
    <pivotField showAll="0"/>
    <pivotField showAll="0"/>
    <pivotField showAll="0">
      <items count="6">
        <item x="2"/>
        <item x="0"/>
        <item x="3"/>
        <item x="1"/>
        <item x="4"/>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D45B87-BD03-4364-99AC-5735771002C1}"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8:B72" firstHeaderRow="1" firstDataRow="1" firstDataCol="1"/>
  <pivotFields count="16">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6">
        <item x="2"/>
        <item x="0"/>
        <item x="3"/>
        <item x="1"/>
        <item x="4"/>
        <item t="default"/>
      </items>
    </pivotField>
    <pivotField numFmtId="14" showAll="0"/>
    <pivotField numFmtId="1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s>
  <rowFields count="1">
    <field x="15"/>
  </rowFields>
  <rowItems count="4">
    <i>
      <x/>
    </i>
    <i>
      <x v="1"/>
    </i>
    <i>
      <x v="2"/>
    </i>
    <i t="grand">
      <x/>
    </i>
  </rowItems>
  <colItems count="1">
    <i/>
  </colItems>
  <dataFields count="1">
    <dataField name="Count of customer_id" fld="0"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5" count="1" selected="0">
            <x v="0"/>
          </reference>
        </references>
      </pivotArea>
    </chartFormat>
    <chartFormat chart="3" format="2">
      <pivotArea type="data" outline="0" fieldPosition="0">
        <references count="2">
          <reference field="4294967294" count="1" selected="0">
            <x v="0"/>
          </reference>
          <reference field="15" count="1" selected="0">
            <x v="1"/>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5" count="1" selected="0">
            <x v="0"/>
          </reference>
        </references>
      </pivotArea>
    </chartFormat>
    <chartFormat chart="10" format="10">
      <pivotArea type="data" outline="0" fieldPosition="0">
        <references count="2">
          <reference field="4294967294" count="1" selected="0">
            <x v="0"/>
          </reference>
          <reference field="15" count="1" selected="0">
            <x v="1"/>
          </reference>
        </references>
      </pivotArea>
    </chartFormat>
    <chartFormat chart="10"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09AA58-5163-43C2-B1E6-DCA5AD5E746E}"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1:B58" firstHeaderRow="1" firstDataRow="1" firstDataCol="1"/>
  <pivotFields count="16">
    <pivotField showAll="0"/>
    <pivotField showAll="0"/>
    <pivotField showAll="0"/>
    <pivotField showAll="0"/>
    <pivotField showAll="0">
      <items count="6">
        <item x="2"/>
        <item x="0"/>
        <item x="3"/>
        <item x="1"/>
        <item x="4"/>
        <item t="default"/>
      </items>
    </pivotField>
    <pivotField numFmtId="14" showAll="0"/>
    <pivotField numFmtId="14" showAll="0"/>
    <pivotField showAll="0"/>
    <pivotField dataField="1" showAll="0"/>
    <pivotField showAll="0"/>
    <pivotField axis="axisRow" showAll="0">
      <items count="7">
        <item x="3"/>
        <item x="4"/>
        <item x="1"/>
        <item x="0"/>
        <item x="2"/>
        <item x="5"/>
        <item t="default"/>
      </items>
    </pivotField>
    <pivotField showAll="0"/>
    <pivotField showAll="0"/>
    <pivotField showAll="0"/>
    <pivotField showAll="0"/>
    <pivotField showAll="0"/>
  </pivotFields>
  <rowFields count="1">
    <field x="10"/>
  </rowFields>
  <rowItems count="7">
    <i>
      <x/>
    </i>
    <i>
      <x v="1"/>
    </i>
    <i>
      <x v="2"/>
    </i>
    <i>
      <x v="3"/>
    </i>
    <i>
      <x v="4"/>
    </i>
    <i>
      <x v="5"/>
    </i>
    <i t="grand">
      <x/>
    </i>
  </rowItems>
  <colItems count="1">
    <i/>
  </colItems>
  <dataFields count="1">
    <dataField name="Sum of total_spend" fld="8" baseField="0" baseItem="0"/>
  </dataFields>
  <chartFormats count="2">
    <chartFormat chart="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FC20D4-4E4A-4FD8-A032-3D6047C6EEB7}"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B41" firstHeaderRow="1" firstDataRow="1" firstDataCol="1"/>
  <pivotFields count="16">
    <pivotField showAll="0"/>
    <pivotField showAll="0">
      <items count="51">
        <item x="43"/>
        <item x="37"/>
        <item x="14"/>
        <item x="9"/>
        <item x="19"/>
        <item x="30"/>
        <item x="29"/>
        <item x="10"/>
        <item x="6"/>
        <item x="45"/>
        <item x="27"/>
        <item x="21"/>
        <item x="32"/>
        <item x="38"/>
        <item x="24"/>
        <item x="42"/>
        <item x="25"/>
        <item x="46"/>
        <item x="44"/>
        <item x="0"/>
        <item x="36"/>
        <item x="7"/>
        <item x="49"/>
        <item x="26"/>
        <item x="13"/>
        <item x="22"/>
        <item x="28"/>
        <item x="39"/>
        <item x="34"/>
        <item x="3"/>
        <item x="15"/>
        <item x="1"/>
        <item x="16"/>
        <item x="12"/>
        <item x="41"/>
        <item x="4"/>
        <item x="17"/>
        <item x="5"/>
        <item x="20"/>
        <item x="40"/>
        <item x="2"/>
        <item x="31"/>
        <item x="23"/>
        <item x="47"/>
        <item x="35"/>
        <item x="33"/>
        <item x="18"/>
        <item x="11"/>
        <item x="48"/>
        <item x="8"/>
        <item t="default"/>
      </items>
    </pivotField>
    <pivotField showAll="0"/>
    <pivotField showAll="0">
      <items count="3">
        <item x="1"/>
        <item x="0"/>
        <item t="default"/>
      </items>
    </pivotField>
    <pivotField axis="axisRow" showAll="0">
      <items count="6">
        <item x="2"/>
        <item x="0"/>
        <item x="3"/>
        <item x="1"/>
        <item x="4"/>
        <item t="default"/>
      </items>
    </pivotField>
    <pivotField numFmtId="14" showAll="0"/>
    <pivotField numFmtId="14" showAll="0"/>
    <pivotField showAll="0"/>
    <pivotField dataField="1"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Average of total_spend" fld="8" subtotal="average" baseField="4"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2404C6-FD29-46A0-95BC-5C9E4D680E3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B25" firstHeaderRow="1" firstDataRow="1" firstDataCol="1"/>
  <pivotFields count="16">
    <pivotField showAll="0"/>
    <pivotField showAll="0"/>
    <pivotField showAll="0"/>
    <pivotField showAll="0"/>
    <pivotField showAll="0">
      <items count="6">
        <item x="2"/>
        <item x="0"/>
        <item x="3"/>
        <item x="1"/>
        <item x="4"/>
        <item t="default"/>
      </items>
    </pivotField>
    <pivotField numFmtId="14" showAll="0"/>
    <pivotField numFmtId="14" showAll="0"/>
    <pivotField showAll="0"/>
    <pivotField dataField="1" showAll="0"/>
    <pivotField showAll="0"/>
    <pivotField showAll="0"/>
    <pivotField showAll="0"/>
    <pivotField showAll="0"/>
    <pivotField axis="axisRow" showAll="0">
      <items count="5">
        <item x="3"/>
        <item x="0"/>
        <item x="2"/>
        <item x="1"/>
        <item t="default"/>
      </items>
    </pivotField>
    <pivotField showAll="0"/>
    <pivotField showAll="0"/>
  </pivotFields>
  <rowFields count="1">
    <field x="13"/>
  </rowFields>
  <rowItems count="5">
    <i>
      <x/>
    </i>
    <i>
      <x v="1"/>
    </i>
    <i>
      <x v="2"/>
    </i>
    <i>
      <x v="3"/>
    </i>
    <i t="grand">
      <x/>
    </i>
  </rowItems>
  <colItems count="1">
    <i/>
  </colItems>
  <dataFields count="1">
    <dataField name="Sum of total_spend" fld="8"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A29222-134B-4488-A830-BF35034709A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6">
    <pivotField showAll="0"/>
    <pivotField showAll="0"/>
    <pivotField showAll="0"/>
    <pivotField showAll="0"/>
    <pivotField axis="axisRow" showAll="0">
      <items count="6">
        <item x="2"/>
        <item x="0"/>
        <item x="3"/>
        <item x="1"/>
        <item x="4"/>
        <item t="default"/>
      </items>
    </pivotField>
    <pivotField numFmtId="14" showAll="0"/>
    <pivotField numFmtId="14" showAll="0"/>
    <pivotField dataField="1"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total_purchases" fld="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E616E8-CFC9-4444-A719-78A15EB901B9}" autoFormatId="16" applyNumberFormats="0" applyBorderFormats="0" applyFontFormats="0" applyPatternFormats="0" applyAlignmentFormats="0" applyWidthHeightFormats="0">
  <queryTableRefresh nextId="17">
    <queryTableFields count="16">
      <queryTableField id="1" name="customer_id" tableColumnId="1"/>
      <queryTableField id="2" name="customer_name" tableColumnId="2"/>
      <queryTableField id="3" name="age" tableColumnId="3"/>
      <queryTableField id="4" name="gender" tableColumnId="4"/>
      <queryTableField id="5" name="region" tableColumnId="5"/>
      <queryTableField id="6" name="signup_date" tableColumnId="6"/>
      <queryTableField id="7" name="last_purchase_date" tableColumnId="7"/>
      <queryTableField id="8" name="total_purchases" tableColumnId="8"/>
      <queryTableField id="9" name="total_spend" tableColumnId="9"/>
      <queryTableField id="10" name="avg_order_value" tableColumnId="10"/>
      <queryTableField id="11" name="product_category" tableColumnId="11"/>
      <queryTableField id="12" name="email_opens" tableColumnId="12"/>
      <queryTableField id="13" name="email_clicks" tableColumnId="13"/>
      <queryTableField id="14" name="loyalty_tier" tableColumnId="14"/>
      <queryTableField id="15" name="days_since_last_purchase" tableColumnId="15"/>
      <queryTableField id="16" name="churn_risk"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12C050-DCAA-473E-AEEF-BEA55FBE4FD8}" sourceName="region">
  <pivotTables>
    <pivotTable tabId="3" name="PivotTable17"/>
    <pivotTable tabId="3" name="PivotTable1"/>
    <pivotTable tabId="3" name="PivotTable15"/>
    <pivotTable tabId="3" name="PivotTable18"/>
    <pivotTable tabId="3" name="PivotTable19"/>
    <pivotTable tabId="3" name="PivotTable20"/>
  </pivotTables>
  <data>
    <tabular pivotCacheId="950961662">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0B02A4-9134-430D-A0B1-F435C56AE2F6}" cache="Slicer_region" caption="Regions" style="SlicerStyleDark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250B6C-24C4-444D-A363-002BFBB890AC}" name="clean_customer_data" displayName="clean_customer_data" ref="A1:P51" tableType="queryTable" totalsRowShown="0">
  <autoFilter ref="A1:P51" xr:uid="{2D250B6C-24C4-444D-A363-002BFBB890AC}"/>
  <tableColumns count="16">
    <tableColumn id="1" xr3:uid="{3D1C5E2D-D161-493D-BE66-7F386BEECF81}" uniqueName="1" name="customer_id" queryTableFieldId="1" dataDxfId="8"/>
    <tableColumn id="2" xr3:uid="{220F4E7F-2D77-4492-8841-16F559744175}" uniqueName="2" name="customer_name" queryTableFieldId="2" dataDxfId="7"/>
    <tableColumn id="3" xr3:uid="{C1B11603-BFBE-4A58-A8F0-6307625012D1}" uniqueName="3" name="age" queryTableFieldId="3"/>
    <tableColumn id="4" xr3:uid="{9F909684-9468-4646-8FFE-B2E95D7B434A}" uniqueName="4" name="gender" queryTableFieldId="4" dataDxfId="6"/>
    <tableColumn id="5" xr3:uid="{9480B9A3-D550-4116-BBBE-CEC184C5C08E}" uniqueName="5" name="region" queryTableFieldId="5" dataDxfId="5"/>
    <tableColumn id="6" xr3:uid="{8F9837A2-C4C6-4200-BCF5-DE8054CA6367}" uniqueName="6" name="signup_date" queryTableFieldId="6" dataDxfId="4"/>
    <tableColumn id="7" xr3:uid="{8A79D2AB-2514-41E8-8AEF-3D50B2698B3F}" uniqueName="7" name="last_purchase_date" queryTableFieldId="7" dataDxfId="3"/>
    <tableColumn id="8" xr3:uid="{B38C996F-E005-4669-9040-3D06C19987D6}" uniqueName="8" name="total_purchases" queryTableFieldId="8"/>
    <tableColumn id="9" xr3:uid="{2961345D-1616-48CD-89BB-C7417EC87EAD}" uniqueName="9" name="total_spend" queryTableFieldId="9"/>
    <tableColumn id="10" xr3:uid="{298CED7F-FFB3-4AF5-9A48-9496F6DCA070}" uniqueName="10" name="avg_order_value" queryTableFieldId="10"/>
    <tableColumn id="11" xr3:uid="{C15E22CE-44F1-4D7D-AD7B-CEA109C320C4}" uniqueName="11" name="product_category" queryTableFieldId="11" dataDxfId="2"/>
    <tableColumn id="12" xr3:uid="{E30F21D8-722D-4EE6-A22F-CB5A36CB7216}" uniqueName="12" name="email_opens" queryTableFieldId="12"/>
    <tableColumn id="13" xr3:uid="{5F647864-587C-4D96-8256-AB8642CC8529}" uniqueName="13" name="email_clicks" queryTableFieldId="13"/>
    <tableColumn id="14" xr3:uid="{538C7361-C0AF-446B-8F60-8BA2EBF1EAE5}" uniqueName="14" name="loyalty_tier" queryTableFieldId="14" dataDxfId="1"/>
    <tableColumn id="15" xr3:uid="{2086F216-AD64-487A-B7C2-ECCBE6E59767}" uniqueName="15" name="days_since_last_purchase" queryTableFieldId="15"/>
    <tableColumn id="16" xr3:uid="{2C3DA8BC-9146-445A-8E7B-A256C018BC18}" uniqueName="16" name="churn_risk"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72D4-BCB0-40AE-8012-960A4F50A372}">
  <dimension ref="A1:P51"/>
  <sheetViews>
    <sheetView tabSelected="1" workbookViewId="0">
      <selection activeCell="I11" sqref="I11"/>
    </sheetView>
  </sheetViews>
  <sheetFormatPr defaultRowHeight="14.5" x14ac:dyDescent="0.35"/>
  <cols>
    <col min="1" max="1" width="13.453125" bestFit="1" customWidth="1"/>
    <col min="2" max="2" width="16.6328125" bestFit="1" customWidth="1"/>
    <col min="3" max="3" width="6" bestFit="1" customWidth="1"/>
    <col min="4" max="4" width="8.81640625" bestFit="1" customWidth="1"/>
    <col min="5" max="5" width="9.26953125" bestFit="1" customWidth="1"/>
    <col min="6" max="6" width="13.26953125" bestFit="1" customWidth="1"/>
    <col min="7" max="7" width="19.54296875" bestFit="1" customWidth="1"/>
    <col min="8" max="8" width="16.54296875" bestFit="1" customWidth="1"/>
    <col min="9" max="9" width="12.90625" bestFit="1" customWidth="1"/>
    <col min="10" max="10" width="16.54296875" bestFit="1" customWidth="1"/>
    <col min="11" max="11" width="17.6328125" bestFit="1" customWidth="1"/>
    <col min="12" max="12" width="13.7265625" bestFit="1" customWidth="1"/>
    <col min="13" max="13" width="13.6328125" bestFit="1" customWidth="1"/>
    <col min="14" max="14" width="12.26953125" bestFit="1" customWidth="1"/>
    <col min="15" max="15" width="25.1796875" bestFit="1" customWidth="1"/>
    <col min="16" max="16" width="11.90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v>34</v>
      </c>
      <c r="D2" t="s">
        <v>18</v>
      </c>
      <c r="E2" t="s">
        <v>19</v>
      </c>
      <c r="F2" s="1">
        <v>44270</v>
      </c>
      <c r="G2" s="1">
        <v>45616</v>
      </c>
      <c r="H2">
        <v>18</v>
      </c>
      <c r="I2">
        <v>1240.5</v>
      </c>
      <c r="J2">
        <v>68.92</v>
      </c>
      <c r="K2" t="s">
        <v>20</v>
      </c>
      <c r="L2">
        <v>45</v>
      </c>
      <c r="M2">
        <v>12</v>
      </c>
      <c r="N2" t="s">
        <v>21</v>
      </c>
      <c r="O2">
        <v>40</v>
      </c>
      <c r="P2" t="s">
        <v>22</v>
      </c>
    </row>
    <row r="3" spans="1:16" x14ac:dyDescent="0.35">
      <c r="A3" t="s">
        <v>23</v>
      </c>
      <c r="B3" t="s">
        <v>24</v>
      </c>
      <c r="C3">
        <v>27</v>
      </c>
      <c r="D3" t="s">
        <v>25</v>
      </c>
      <c r="E3" t="s">
        <v>26</v>
      </c>
      <c r="F3" s="1">
        <v>44743</v>
      </c>
      <c r="G3" s="1">
        <v>45636</v>
      </c>
      <c r="H3">
        <v>7</v>
      </c>
      <c r="I3">
        <v>430</v>
      </c>
      <c r="J3">
        <v>61.43</v>
      </c>
      <c r="K3" t="s">
        <v>27</v>
      </c>
      <c r="L3">
        <v>22</v>
      </c>
      <c r="M3">
        <v>5</v>
      </c>
      <c r="N3" t="s">
        <v>28</v>
      </c>
      <c r="O3">
        <v>20</v>
      </c>
      <c r="P3" t="s">
        <v>22</v>
      </c>
    </row>
    <row r="4" spans="1:16" x14ac:dyDescent="0.35">
      <c r="A4" t="s">
        <v>29</v>
      </c>
      <c r="B4" t="s">
        <v>30</v>
      </c>
      <c r="C4">
        <v>52</v>
      </c>
      <c r="D4" t="s">
        <v>18</v>
      </c>
      <c r="E4" t="s">
        <v>31</v>
      </c>
      <c r="F4" s="1">
        <v>43840</v>
      </c>
      <c r="G4" s="1">
        <v>45540</v>
      </c>
      <c r="H4">
        <v>32</v>
      </c>
      <c r="I4">
        <v>4875</v>
      </c>
      <c r="J4">
        <v>152.34</v>
      </c>
      <c r="K4" t="s">
        <v>32</v>
      </c>
      <c r="L4">
        <v>80</v>
      </c>
      <c r="M4">
        <v>30</v>
      </c>
      <c r="N4" t="s">
        <v>33</v>
      </c>
      <c r="O4">
        <v>116</v>
      </c>
      <c r="P4" t="s">
        <v>34</v>
      </c>
    </row>
    <row r="5" spans="1:16" x14ac:dyDescent="0.35">
      <c r="A5" t="s">
        <v>35</v>
      </c>
      <c r="B5" t="s">
        <v>36</v>
      </c>
      <c r="C5">
        <v>41</v>
      </c>
      <c r="D5" t="s">
        <v>25</v>
      </c>
      <c r="E5" t="s">
        <v>37</v>
      </c>
      <c r="F5" s="1">
        <v>44522</v>
      </c>
      <c r="G5" s="1">
        <v>45505</v>
      </c>
      <c r="H5">
        <v>10</v>
      </c>
      <c r="I5">
        <v>610.75</v>
      </c>
      <c r="J5">
        <v>61.08</v>
      </c>
      <c r="K5" t="s">
        <v>38</v>
      </c>
      <c r="L5">
        <v>18</v>
      </c>
      <c r="M5">
        <v>3</v>
      </c>
      <c r="N5" t="s">
        <v>28</v>
      </c>
      <c r="O5">
        <v>152</v>
      </c>
      <c r="P5" t="s">
        <v>39</v>
      </c>
    </row>
    <row r="6" spans="1:16" x14ac:dyDescent="0.35">
      <c r="A6" t="s">
        <v>40</v>
      </c>
      <c r="B6" t="s">
        <v>41</v>
      </c>
      <c r="C6">
        <v>29</v>
      </c>
      <c r="D6" t="s">
        <v>18</v>
      </c>
      <c r="E6" t="s">
        <v>42</v>
      </c>
      <c r="F6" s="1">
        <v>44971</v>
      </c>
      <c r="G6" s="1">
        <v>45654</v>
      </c>
      <c r="H6">
        <v>4</v>
      </c>
      <c r="I6">
        <v>189</v>
      </c>
      <c r="J6">
        <v>47.25</v>
      </c>
      <c r="K6" t="s">
        <v>43</v>
      </c>
      <c r="L6">
        <v>10</v>
      </c>
      <c r="M6">
        <v>2</v>
      </c>
      <c r="N6" t="s">
        <v>44</v>
      </c>
      <c r="O6">
        <v>3</v>
      </c>
      <c r="P6" t="s">
        <v>22</v>
      </c>
    </row>
    <row r="7" spans="1:16" x14ac:dyDescent="0.35">
      <c r="A7" t="s">
        <v>45</v>
      </c>
      <c r="B7" t="s">
        <v>46</v>
      </c>
      <c r="C7">
        <v>36</v>
      </c>
      <c r="D7" t="s">
        <v>25</v>
      </c>
      <c r="E7" t="s">
        <v>19</v>
      </c>
      <c r="F7" s="1">
        <v>44012</v>
      </c>
      <c r="G7" s="1">
        <v>45579</v>
      </c>
      <c r="H7">
        <v>25</v>
      </c>
      <c r="I7">
        <v>2950</v>
      </c>
      <c r="J7">
        <v>118</v>
      </c>
      <c r="K7" t="s">
        <v>20</v>
      </c>
      <c r="L7">
        <v>60</v>
      </c>
      <c r="M7">
        <v>20</v>
      </c>
      <c r="N7" t="s">
        <v>21</v>
      </c>
      <c r="O7">
        <v>78</v>
      </c>
      <c r="P7" t="s">
        <v>22</v>
      </c>
    </row>
    <row r="8" spans="1:16" x14ac:dyDescent="0.35">
      <c r="A8" t="s">
        <v>47</v>
      </c>
      <c r="B8" t="s">
        <v>48</v>
      </c>
      <c r="C8">
        <v>47</v>
      </c>
      <c r="D8" t="s">
        <v>18</v>
      </c>
      <c r="E8" t="s">
        <v>37</v>
      </c>
      <c r="F8" s="1">
        <v>43726</v>
      </c>
      <c r="G8" s="1">
        <v>45442</v>
      </c>
      <c r="H8">
        <v>40</v>
      </c>
      <c r="I8">
        <v>6200</v>
      </c>
      <c r="J8">
        <v>155</v>
      </c>
      <c r="K8" t="s">
        <v>32</v>
      </c>
      <c r="L8">
        <v>90</v>
      </c>
      <c r="M8">
        <v>35</v>
      </c>
      <c r="N8" t="s">
        <v>33</v>
      </c>
      <c r="O8">
        <v>215</v>
      </c>
      <c r="P8" t="s">
        <v>39</v>
      </c>
    </row>
    <row r="9" spans="1:16" x14ac:dyDescent="0.35">
      <c r="A9" t="s">
        <v>49</v>
      </c>
      <c r="B9" t="s">
        <v>50</v>
      </c>
      <c r="C9">
        <v>23</v>
      </c>
      <c r="D9" t="s">
        <v>25</v>
      </c>
      <c r="E9" t="s">
        <v>42</v>
      </c>
      <c r="F9" s="1">
        <v>45143</v>
      </c>
      <c r="G9" s="1">
        <v>45646</v>
      </c>
      <c r="H9">
        <v>3</v>
      </c>
      <c r="I9">
        <v>145</v>
      </c>
      <c r="J9">
        <v>48.33</v>
      </c>
      <c r="K9" t="s">
        <v>27</v>
      </c>
      <c r="L9">
        <v>8</v>
      </c>
      <c r="M9">
        <v>1</v>
      </c>
      <c r="N9" t="s">
        <v>44</v>
      </c>
      <c r="O9">
        <v>11</v>
      </c>
      <c r="P9" t="s">
        <v>22</v>
      </c>
    </row>
    <row r="10" spans="1:16" x14ac:dyDescent="0.35">
      <c r="A10" t="s">
        <v>51</v>
      </c>
      <c r="B10" t="s">
        <v>52</v>
      </c>
      <c r="C10">
        <v>55</v>
      </c>
      <c r="D10" t="s">
        <v>18</v>
      </c>
      <c r="E10" t="s">
        <v>31</v>
      </c>
      <c r="F10" s="1">
        <v>43915</v>
      </c>
      <c r="G10" s="1">
        <v>45495</v>
      </c>
      <c r="H10">
        <v>28</v>
      </c>
      <c r="I10">
        <v>3400</v>
      </c>
      <c r="J10">
        <v>121.43</v>
      </c>
      <c r="K10" t="s">
        <v>20</v>
      </c>
      <c r="L10">
        <v>70</v>
      </c>
      <c r="M10">
        <v>25</v>
      </c>
      <c r="N10" t="s">
        <v>21</v>
      </c>
      <c r="O10">
        <v>162</v>
      </c>
      <c r="P10" t="s">
        <v>39</v>
      </c>
    </row>
    <row r="11" spans="1:16" x14ac:dyDescent="0.35">
      <c r="A11" t="s">
        <v>53</v>
      </c>
      <c r="B11" t="s">
        <v>54</v>
      </c>
      <c r="C11">
        <v>31</v>
      </c>
      <c r="D11" t="s">
        <v>25</v>
      </c>
      <c r="E11" t="s">
        <v>26</v>
      </c>
      <c r="F11" s="1">
        <v>44578</v>
      </c>
      <c r="G11" s="1">
        <v>45601</v>
      </c>
      <c r="H11">
        <v>12</v>
      </c>
      <c r="I11">
        <v>780</v>
      </c>
      <c r="J11">
        <v>65</v>
      </c>
      <c r="K11" t="s">
        <v>38</v>
      </c>
      <c r="L11">
        <v>30</v>
      </c>
      <c r="M11">
        <v>8</v>
      </c>
      <c r="N11" t="s">
        <v>28</v>
      </c>
      <c r="O11">
        <v>56</v>
      </c>
      <c r="P11" t="s">
        <v>22</v>
      </c>
    </row>
    <row r="12" spans="1:16" x14ac:dyDescent="0.35">
      <c r="A12" t="s">
        <v>55</v>
      </c>
      <c r="B12" t="s">
        <v>56</v>
      </c>
      <c r="C12">
        <v>44</v>
      </c>
      <c r="D12" t="s">
        <v>18</v>
      </c>
      <c r="E12" t="s">
        <v>19</v>
      </c>
      <c r="F12" s="1">
        <v>44325</v>
      </c>
      <c r="G12" s="1">
        <v>45627</v>
      </c>
      <c r="H12">
        <v>20</v>
      </c>
      <c r="I12">
        <v>2100</v>
      </c>
      <c r="J12">
        <v>105</v>
      </c>
      <c r="K12" t="s">
        <v>57</v>
      </c>
      <c r="L12">
        <v>50</v>
      </c>
      <c r="M12">
        <v>15</v>
      </c>
      <c r="N12" t="s">
        <v>21</v>
      </c>
      <c r="O12">
        <v>30</v>
      </c>
      <c r="P12" t="s">
        <v>22</v>
      </c>
    </row>
    <row r="13" spans="1:16" x14ac:dyDescent="0.35">
      <c r="A13" t="s">
        <v>58</v>
      </c>
      <c r="B13" t="s">
        <v>59</v>
      </c>
      <c r="C13">
        <v>39</v>
      </c>
      <c r="D13" t="s">
        <v>25</v>
      </c>
      <c r="E13" t="s">
        <v>42</v>
      </c>
      <c r="F13" s="1">
        <v>44168</v>
      </c>
      <c r="G13" s="1">
        <v>45461</v>
      </c>
      <c r="H13">
        <v>15</v>
      </c>
      <c r="I13">
        <v>1120</v>
      </c>
      <c r="J13">
        <v>74.67</v>
      </c>
      <c r="K13" t="s">
        <v>27</v>
      </c>
      <c r="L13">
        <v>35</v>
      </c>
      <c r="M13">
        <v>10</v>
      </c>
      <c r="N13" t="s">
        <v>28</v>
      </c>
      <c r="O13">
        <v>196</v>
      </c>
      <c r="P13" t="s">
        <v>39</v>
      </c>
    </row>
    <row r="14" spans="1:16" x14ac:dyDescent="0.35">
      <c r="A14" t="s">
        <v>60</v>
      </c>
      <c r="B14" t="s">
        <v>61</v>
      </c>
      <c r="C14">
        <v>26</v>
      </c>
      <c r="D14" t="s">
        <v>18</v>
      </c>
      <c r="E14" t="s">
        <v>37</v>
      </c>
      <c r="F14" s="1">
        <v>45036</v>
      </c>
      <c r="G14" s="1">
        <v>45641</v>
      </c>
      <c r="H14">
        <v>5</v>
      </c>
      <c r="I14">
        <v>260</v>
      </c>
      <c r="J14">
        <v>52</v>
      </c>
      <c r="K14" t="s">
        <v>43</v>
      </c>
      <c r="L14">
        <v>12</v>
      </c>
      <c r="M14">
        <v>3</v>
      </c>
      <c r="N14" t="s">
        <v>44</v>
      </c>
      <c r="O14">
        <v>16</v>
      </c>
      <c r="P14" t="s">
        <v>22</v>
      </c>
    </row>
    <row r="15" spans="1:16" x14ac:dyDescent="0.35">
      <c r="A15" t="s">
        <v>62</v>
      </c>
      <c r="B15" t="s">
        <v>63</v>
      </c>
      <c r="C15">
        <v>58</v>
      </c>
      <c r="D15" t="s">
        <v>25</v>
      </c>
      <c r="E15" t="s">
        <v>31</v>
      </c>
      <c r="F15" s="1">
        <v>43660</v>
      </c>
      <c r="G15" s="1">
        <v>45565</v>
      </c>
      <c r="H15">
        <v>50</v>
      </c>
      <c r="I15">
        <v>8750</v>
      </c>
      <c r="J15">
        <v>175</v>
      </c>
      <c r="K15" t="s">
        <v>32</v>
      </c>
      <c r="L15">
        <v>95</v>
      </c>
      <c r="M15">
        <v>40</v>
      </c>
      <c r="N15" t="s">
        <v>33</v>
      </c>
      <c r="O15">
        <v>92</v>
      </c>
      <c r="P15" t="s">
        <v>22</v>
      </c>
    </row>
    <row r="16" spans="1:16" x14ac:dyDescent="0.35">
      <c r="A16" t="s">
        <v>64</v>
      </c>
      <c r="B16" t="s">
        <v>65</v>
      </c>
      <c r="C16">
        <v>33</v>
      </c>
      <c r="D16" t="s">
        <v>18</v>
      </c>
      <c r="E16" t="s">
        <v>26</v>
      </c>
      <c r="F16" s="1">
        <v>44815</v>
      </c>
      <c r="G16" s="1">
        <v>45590</v>
      </c>
      <c r="H16">
        <v>9</v>
      </c>
      <c r="I16">
        <v>540</v>
      </c>
      <c r="J16">
        <v>60</v>
      </c>
      <c r="K16" t="s">
        <v>57</v>
      </c>
      <c r="L16">
        <v>20</v>
      </c>
      <c r="M16">
        <v>6</v>
      </c>
      <c r="N16" t="s">
        <v>28</v>
      </c>
      <c r="O16">
        <v>67</v>
      </c>
      <c r="P16" t="s">
        <v>22</v>
      </c>
    </row>
    <row r="17" spans="1:16" x14ac:dyDescent="0.35">
      <c r="A17" t="s">
        <v>66</v>
      </c>
      <c r="B17" t="s">
        <v>67</v>
      </c>
      <c r="C17">
        <v>48</v>
      </c>
      <c r="D17" t="s">
        <v>25</v>
      </c>
      <c r="E17" t="s">
        <v>19</v>
      </c>
      <c r="F17" s="1">
        <v>44065</v>
      </c>
      <c r="G17" s="1">
        <v>45392</v>
      </c>
      <c r="H17">
        <v>22</v>
      </c>
      <c r="I17">
        <v>2680</v>
      </c>
      <c r="J17">
        <v>121.82</v>
      </c>
      <c r="K17" t="s">
        <v>38</v>
      </c>
      <c r="L17">
        <v>55</v>
      </c>
      <c r="M17">
        <v>18</v>
      </c>
      <c r="N17" t="s">
        <v>21</v>
      </c>
      <c r="O17">
        <v>265</v>
      </c>
      <c r="P17" t="s">
        <v>39</v>
      </c>
    </row>
    <row r="18" spans="1:16" x14ac:dyDescent="0.35">
      <c r="A18" t="s">
        <v>68</v>
      </c>
      <c r="B18" t="s">
        <v>69</v>
      </c>
      <c r="C18">
        <v>30</v>
      </c>
      <c r="D18" t="s">
        <v>18</v>
      </c>
      <c r="E18" t="s">
        <v>42</v>
      </c>
      <c r="F18" s="1">
        <v>44956</v>
      </c>
      <c r="G18" s="1">
        <v>45648</v>
      </c>
      <c r="H18">
        <v>6</v>
      </c>
      <c r="I18">
        <v>310</v>
      </c>
      <c r="J18">
        <v>51.67</v>
      </c>
      <c r="K18" t="s">
        <v>20</v>
      </c>
      <c r="L18">
        <v>15</v>
      </c>
      <c r="M18">
        <v>4</v>
      </c>
      <c r="N18" t="s">
        <v>44</v>
      </c>
      <c r="O18">
        <v>9</v>
      </c>
      <c r="P18" t="s">
        <v>22</v>
      </c>
    </row>
    <row r="19" spans="1:16" x14ac:dyDescent="0.35">
      <c r="A19" t="s">
        <v>70</v>
      </c>
      <c r="B19" t="s">
        <v>71</v>
      </c>
      <c r="C19">
        <v>62</v>
      </c>
      <c r="D19" t="s">
        <v>25</v>
      </c>
      <c r="E19" t="s">
        <v>37</v>
      </c>
      <c r="F19" s="1">
        <v>43409</v>
      </c>
      <c r="G19" s="1">
        <v>45519</v>
      </c>
      <c r="H19">
        <v>60</v>
      </c>
      <c r="I19">
        <v>10200</v>
      </c>
      <c r="J19">
        <v>170</v>
      </c>
      <c r="K19" t="s">
        <v>32</v>
      </c>
      <c r="L19">
        <v>100</v>
      </c>
      <c r="M19">
        <v>45</v>
      </c>
      <c r="N19" t="s">
        <v>33</v>
      </c>
      <c r="O19">
        <v>138</v>
      </c>
      <c r="P19" t="s">
        <v>34</v>
      </c>
    </row>
    <row r="20" spans="1:16" x14ac:dyDescent="0.35">
      <c r="A20" t="s">
        <v>72</v>
      </c>
      <c r="B20" t="s">
        <v>73</v>
      </c>
      <c r="C20">
        <v>37</v>
      </c>
      <c r="D20" t="s">
        <v>18</v>
      </c>
      <c r="E20" t="s">
        <v>31</v>
      </c>
      <c r="F20" s="1">
        <v>44477</v>
      </c>
      <c r="G20" s="1">
        <v>45614</v>
      </c>
      <c r="H20">
        <v>14</v>
      </c>
      <c r="I20">
        <v>890</v>
      </c>
      <c r="J20">
        <v>63.57</v>
      </c>
      <c r="K20" t="s">
        <v>27</v>
      </c>
      <c r="L20">
        <v>28</v>
      </c>
      <c r="M20">
        <v>7</v>
      </c>
      <c r="N20" t="s">
        <v>28</v>
      </c>
      <c r="O20">
        <v>43</v>
      </c>
      <c r="P20" t="s">
        <v>22</v>
      </c>
    </row>
    <row r="21" spans="1:16" x14ac:dyDescent="0.35">
      <c r="A21" t="s">
        <v>74</v>
      </c>
      <c r="B21" t="s">
        <v>75</v>
      </c>
      <c r="C21">
        <v>25</v>
      </c>
      <c r="D21" t="s">
        <v>25</v>
      </c>
      <c r="E21" t="s">
        <v>26</v>
      </c>
      <c r="F21" s="1">
        <v>45102</v>
      </c>
      <c r="G21" s="1">
        <v>45631</v>
      </c>
      <c r="H21">
        <v>4</v>
      </c>
      <c r="I21">
        <v>175</v>
      </c>
      <c r="J21">
        <v>43.75</v>
      </c>
      <c r="K21" t="s">
        <v>43</v>
      </c>
      <c r="L21">
        <v>9</v>
      </c>
      <c r="M21">
        <v>1</v>
      </c>
      <c r="N21" t="s">
        <v>44</v>
      </c>
      <c r="O21">
        <v>26</v>
      </c>
      <c r="P21" t="s">
        <v>22</v>
      </c>
    </row>
    <row r="22" spans="1:16" x14ac:dyDescent="0.35">
      <c r="A22" t="s">
        <v>76</v>
      </c>
      <c r="B22" t="s">
        <v>77</v>
      </c>
      <c r="C22">
        <v>42</v>
      </c>
      <c r="D22" t="s">
        <v>18</v>
      </c>
      <c r="E22" t="s">
        <v>19</v>
      </c>
      <c r="F22" s="1">
        <v>43938</v>
      </c>
      <c r="G22" s="1">
        <v>45481</v>
      </c>
      <c r="H22">
        <v>19</v>
      </c>
      <c r="I22">
        <v>1580</v>
      </c>
      <c r="J22">
        <v>83.16</v>
      </c>
      <c r="K22" t="s">
        <v>57</v>
      </c>
      <c r="L22">
        <v>40</v>
      </c>
      <c r="M22">
        <v>11</v>
      </c>
      <c r="N22" t="s">
        <v>21</v>
      </c>
      <c r="O22">
        <v>176</v>
      </c>
      <c r="P22" t="s">
        <v>39</v>
      </c>
    </row>
    <row r="23" spans="1:16" x14ac:dyDescent="0.35">
      <c r="A23" t="s">
        <v>78</v>
      </c>
      <c r="B23" t="s">
        <v>79</v>
      </c>
      <c r="C23">
        <v>35</v>
      </c>
      <c r="D23" t="s">
        <v>25</v>
      </c>
      <c r="E23" t="s">
        <v>42</v>
      </c>
      <c r="F23" s="1">
        <v>44632</v>
      </c>
      <c r="G23" s="1">
        <v>45644</v>
      </c>
      <c r="H23">
        <v>11</v>
      </c>
      <c r="I23">
        <v>690</v>
      </c>
      <c r="J23">
        <v>62.73</v>
      </c>
      <c r="K23" t="s">
        <v>38</v>
      </c>
      <c r="L23">
        <v>25</v>
      </c>
      <c r="M23">
        <v>7</v>
      </c>
      <c r="N23" t="s">
        <v>28</v>
      </c>
      <c r="O23">
        <v>13</v>
      </c>
      <c r="P23" t="s">
        <v>22</v>
      </c>
    </row>
    <row r="24" spans="1:16" x14ac:dyDescent="0.35">
      <c r="A24" t="s">
        <v>80</v>
      </c>
      <c r="B24" t="s">
        <v>81</v>
      </c>
      <c r="C24">
        <v>51</v>
      </c>
      <c r="D24" t="s">
        <v>18</v>
      </c>
      <c r="E24" t="s">
        <v>37</v>
      </c>
      <c r="F24" s="1">
        <v>43800</v>
      </c>
      <c r="G24" s="1">
        <v>45444</v>
      </c>
      <c r="H24">
        <v>35</v>
      </c>
      <c r="I24">
        <v>5100</v>
      </c>
      <c r="J24">
        <v>145.71</v>
      </c>
      <c r="K24" t="s">
        <v>20</v>
      </c>
      <c r="L24">
        <v>85</v>
      </c>
      <c r="M24">
        <v>32</v>
      </c>
      <c r="N24" t="s">
        <v>33</v>
      </c>
      <c r="O24">
        <v>213</v>
      </c>
      <c r="P24" t="s">
        <v>39</v>
      </c>
    </row>
    <row r="25" spans="1:16" x14ac:dyDescent="0.35">
      <c r="A25" t="s">
        <v>82</v>
      </c>
      <c r="B25" t="s">
        <v>83</v>
      </c>
      <c r="C25">
        <v>28</v>
      </c>
      <c r="D25" t="s">
        <v>25</v>
      </c>
      <c r="E25" t="s">
        <v>31</v>
      </c>
      <c r="F25" s="1">
        <v>45064</v>
      </c>
      <c r="G25" s="1">
        <v>45656</v>
      </c>
      <c r="H25">
        <v>5</v>
      </c>
      <c r="I25">
        <v>225</v>
      </c>
      <c r="J25">
        <v>45</v>
      </c>
      <c r="K25" t="s">
        <v>27</v>
      </c>
      <c r="L25">
        <v>11</v>
      </c>
      <c r="M25">
        <v>2</v>
      </c>
      <c r="N25" t="s">
        <v>44</v>
      </c>
      <c r="O25">
        <v>1</v>
      </c>
      <c r="P25" t="s">
        <v>22</v>
      </c>
    </row>
    <row r="26" spans="1:16" x14ac:dyDescent="0.35">
      <c r="A26" t="s">
        <v>84</v>
      </c>
      <c r="B26" t="s">
        <v>85</v>
      </c>
      <c r="C26">
        <v>46</v>
      </c>
      <c r="D26" t="s">
        <v>18</v>
      </c>
      <c r="E26" t="s">
        <v>26</v>
      </c>
      <c r="F26" s="1">
        <v>44133</v>
      </c>
      <c r="G26" s="1">
        <v>45547</v>
      </c>
      <c r="H26">
        <v>24</v>
      </c>
      <c r="I26">
        <v>2800</v>
      </c>
      <c r="J26">
        <v>116.67</v>
      </c>
      <c r="K26" t="s">
        <v>32</v>
      </c>
      <c r="L26">
        <v>65</v>
      </c>
      <c r="M26">
        <v>22</v>
      </c>
      <c r="N26" t="s">
        <v>21</v>
      </c>
      <c r="O26">
        <v>110</v>
      </c>
      <c r="P26" t="s">
        <v>34</v>
      </c>
    </row>
    <row r="27" spans="1:16" x14ac:dyDescent="0.35">
      <c r="A27" t="s">
        <v>86</v>
      </c>
      <c r="B27" t="s">
        <v>87</v>
      </c>
      <c r="C27">
        <v>53</v>
      </c>
      <c r="D27" t="s">
        <v>25</v>
      </c>
      <c r="E27" t="s">
        <v>19</v>
      </c>
      <c r="F27" s="1">
        <v>43691</v>
      </c>
      <c r="G27" s="1">
        <v>45432</v>
      </c>
      <c r="H27">
        <v>42</v>
      </c>
      <c r="I27">
        <v>7300</v>
      </c>
      <c r="J27">
        <v>173.81</v>
      </c>
      <c r="K27" t="s">
        <v>38</v>
      </c>
      <c r="L27">
        <v>92</v>
      </c>
      <c r="M27">
        <v>38</v>
      </c>
      <c r="N27" t="s">
        <v>33</v>
      </c>
      <c r="O27">
        <v>225</v>
      </c>
      <c r="P27" t="s">
        <v>39</v>
      </c>
    </row>
    <row r="28" spans="1:16" x14ac:dyDescent="0.35">
      <c r="A28" t="s">
        <v>88</v>
      </c>
      <c r="B28" t="s">
        <v>89</v>
      </c>
      <c r="C28">
        <v>31</v>
      </c>
      <c r="D28" t="s">
        <v>18</v>
      </c>
      <c r="E28" t="s">
        <v>42</v>
      </c>
      <c r="F28" s="1">
        <v>44871</v>
      </c>
      <c r="G28" s="1">
        <v>45624</v>
      </c>
      <c r="H28">
        <v>10</v>
      </c>
      <c r="I28">
        <v>620</v>
      </c>
      <c r="J28">
        <v>62</v>
      </c>
      <c r="K28" t="s">
        <v>57</v>
      </c>
      <c r="L28">
        <v>22</v>
      </c>
      <c r="M28">
        <v>6</v>
      </c>
      <c r="N28" t="s">
        <v>28</v>
      </c>
      <c r="O28">
        <v>33</v>
      </c>
      <c r="P28" t="s">
        <v>22</v>
      </c>
    </row>
    <row r="29" spans="1:16" x14ac:dyDescent="0.35">
      <c r="A29" t="s">
        <v>90</v>
      </c>
      <c r="B29" t="s">
        <v>91</v>
      </c>
      <c r="C29">
        <v>40</v>
      </c>
      <c r="D29" t="s">
        <v>25</v>
      </c>
      <c r="E29" t="s">
        <v>37</v>
      </c>
      <c r="F29" s="1">
        <v>44250</v>
      </c>
      <c r="G29" s="1">
        <v>45570</v>
      </c>
      <c r="H29">
        <v>16</v>
      </c>
      <c r="I29">
        <v>1050</v>
      </c>
      <c r="J29">
        <v>65.63</v>
      </c>
      <c r="K29" t="s">
        <v>27</v>
      </c>
      <c r="L29">
        <v>32</v>
      </c>
      <c r="M29">
        <v>9</v>
      </c>
      <c r="N29" t="s">
        <v>28</v>
      </c>
      <c r="O29">
        <v>87</v>
      </c>
      <c r="P29" t="s">
        <v>22</v>
      </c>
    </row>
    <row r="30" spans="1:16" x14ac:dyDescent="0.35">
      <c r="A30" t="s">
        <v>92</v>
      </c>
      <c r="B30" t="s">
        <v>93</v>
      </c>
      <c r="C30">
        <v>24</v>
      </c>
      <c r="D30" t="s">
        <v>18</v>
      </c>
      <c r="E30" t="s">
        <v>31</v>
      </c>
      <c r="F30" s="1">
        <v>45179</v>
      </c>
      <c r="G30" s="1">
        <v>45638</v>
      </c>
      <c r="H30">
        <v>3</v>
      </c>
      <c r="I30">
        <v>130</v>
      </c>
      <c r="J30">
        <v>43.33</v>
      </c>
      <c r="K30" t="s">
        <v>43</v>
      </c>
      <c r="L30">
        <v>7</v>
      </c>
      <c r="M30">
        <v>1</v>
      </c>
      <c r="N30" t="s">
        <v>44</v>
      </c>
      <c r="O30">
        <v>19</v>
      </c>
      <c r="P30" t="s">
        <v>22</v>
      </c>
    </row>
    <row r="31" spans="1:16" x14ac:dyDescent="0.35">
      <c r="A31" t="s">
        <v>94</v>
      </c>
      <c r="B31" t="s">
        <v>95</v>
      </c>
      <c r="C31">
        <v>57</v>
      </c>
      <c r="D31" t="s">
        <v>25</v>
      </c>
      <c r="E31" t="s">
        <v>26</v>
      </c>
      <c r="F31" s="1">
        <v>43271</v>
      </c>
      <c r="G31" s="1">
        <v>45532</v>
      </c>
      <c r="H31">
        <v>55</v>
      </c>
      <c r="I31">
        <v>9400</v>
      </c>
      <c r="J31">
        <v>170.91</v>
      </c>
      <c r="K31" t="s">
        <v>20</v>
      </c>
      <c r="L31">
        <v>98</v>
      </c>
      <c r="M31">
        <v>42</v>
      </c>
      <c r="N31" t="s">
        <v>33</v>
      </c>
      <c r="O31">
        <v>125</v>
      </c>
      <c r="P31" t="s">
        <v>34</v>
      </c>
    </row>
    <row r="32" spans="1:16" x14ac:dyDescent="0.35">
      <c r="A32" t="s">
        <v>96</v>
      </c>
      <c r="B32" t="s">
        <v>97</v>
      </c>
      <c r="C32">
        <v>38</v>
      </c>
      <c r="D32" t="s">
        <v>18</v>
      </c>
      <c r="E32" t="s">
        <v>19</v>
      </c>
      <c r="F32" s="1">
        <v>44392</v>
      </c>
      <c r="G32" s="1">
        <v>45634</v>
      </c>
      <c r="H32">
        <v>13</v>
      </c>
      <c r="I32">
        <v>820</v>
      </c>
      <c r="J32">
        <v>63.08</v>
      </c>
      <c r="K32" t="s">
        <v>57</v>
      </c>
      <c r="L32">
        <v>27</v>
      </c>
      <c r="M32">
        <v>7</v>
      </c>
      <c r="N32" t="s">
        <v>28</v>
      </c>
      <c r="O32">
        <v>23</v>
      </c>
      <c r="P32" t="s">
        <v>22</v>
      </c>
    </row>
    <row r="33" spans="1:16" x14ac:dyDescent="0.35">
      <c r="A33" t="s">
        <v>98</v>
      </c>
      <c r="B33" t="s">
        <v>99</v>
      </c>
      <c r="C33">
        <v>45</v>
      </c>
      <c r="D33" t="s">
        <v>25</v>
      </c>
      <c r="E33" t="s">
        <v>42</v>
      </c>
      <c r="F33" s="1">
        <v>44078</v>
      </c>
      <c r="G33" s="1">
        <v>45487</v>
      </c>
      <c r="H33">
        <v>21</v>
      </c>
      <c r="I33">
        <v>2200</v>
      </c>
      <c r="J33">
        <v>104.76</v>
      </c>
      <c r="K33" t="s">
        <v>32</v>
      </c>
      <c r="L33">
        <v>50</v>
      </c>
      <c r="M33">
        <v>16</v>
      </c>
      <c r="N33" t="s">
        <v>21</v>
      </c>
      <c r="O33">
        <v>170</v>
      </c>
      <c r="P33" t="s">
        <v>39</v>
      </c>
    </row>
    <row r="34" spans="1:16" x14ac:dyDescent="0.35">
      <c r="A34" t="s">
        <v>100</v>
      </c>
      <c r="B34" t="s">
        <v>101</v>
      </c>
      <c r="C34">
        <v>32</v>
      </c>
      <c r="D34" t="s">
        <v>18</v>
      </c>
      <c r="E34" t="s">
        <v>37</v>
      </c>
      <c r="F34" s="1">
        <v>44923</v>
      </c>
      <c r="G34" s="1">
        <v>45652</v>
      </c>
      <c r="H34">
        <v>7</v>
      </c>
      <c r="I34">
        <v>390</v>
      </c>
      <c r="J34">
        <v>55.71</v>
      </c>
      <c r="K34" t="s">
        <v>20</v>
      </c>
      <c r="L34">
        <v>16</v>
      </c>
      <c r="M34">
        <v>4</v>
      </c>
      <c r="N34" t="s">
        <v>44</v>
      </c>
      <c r="O34">
        <v>5</v>
      </c>
      <c r="P34" t="s">
        <v>22</v>
      </c>
    </row>
    <row r="35" spans="1:16" x14ac:dyDescent="0.35">
      <c r="A35" t="s">
        <v>102</v>
      </c>
      <c r="B35" t="s">
        <v>103</v>
      </c>
      <c r="C35">
        <v>49</v>
      </c>
      <c r="D35" t="s">
        <v>25</v>
      </c>
      <c r="E35" t="s">
        <v>31</v>
      </c>
      <c r="F35" s="1">
        <v>43596</v>
      </c>
      <c r="G35" s="1">
        <v>45557</v>
      </c>
      <c r="H35">
        <v>38</v>
      </c>
      <c r="I35">
        <v>5900</v>
      </c>
      <c r="J35">
        <v>155.26</v>
      </c>
      <c r="K35" t="s">
        <v>27</v>
      </c>
      <c r="L35">
        <v>88</v>
      </c>
      <c r="M35">
        <v>34</v>
      </c>
      <c r="N35" t="s">
        <v>33</v>
      </c>
      <c r="O35">
        <v>100</v>
      </c>
      <c r="P35" t="s">
        <v>22</v>
      </c>
    </row>
    <row r="36" spans="1:16" x14ac:dyDescent="0.35">
      <c r="A36" t="s">
        <v>104</v>
      </c>
      <c r="B36" t="s">
        <v>105</v>
      </c>
      <c r="C36">
        <v>27</v>
      </c>
      <c r="D36" t="s">
        <v>18</v>
      </c>
      <c r="E36" t="s">
        <v>26</v>
      </c>
      <c r="F36" s="1">
        <v>44992</v>
      </c>
      <c r="G36" s="1">
        <v>45606</v>
      </c>
      <c r="H36">
        <v>5</v>
      </c>
      <c r="I36">
        <v>270</v>
      </c>
      <c r="J36">
        <v>54</v>
      </c>
      <c r="K36" t="s">
        <v>43</v>
      </c>
      <c r="L36">
        <v>13</v>
      </c>
      <c r="M36">
        <v>3</v>
      </c>
      <c r="N36" t="s">
        <v>44</v>
      </c>
      <c r="O36">
        <v>51</v>
      </c>
      <c r="P36" t="s">
        <v>22</v>
      </c>
    </row>
    <row r="37" spans="1:16" x14ac:dyDescent="0.35">
      <c r="A37" t="s">
        <v>106</v>
      </c>
      <c r="B37" t="s">
        <v>107</v>
      </c>
      <c r="C37">
        <v>43</v>
      </c>
      <c r="D37" t="s">
        <v>25</v>
      </c>
      <c r="E37" t="s">
        <v>19</v>
      </c>
      <c r="F37" s="1">
        <v>44153</v>
      </c>
      <c r="G37" s="1">
        <v>45595</v>
      </c>
      <c r="H37">
        <v>17</v>
      </c>
      <c r="I37">
        <v>1340</v>
      </c>
      <c r="J37">
        <v>78.819999999999993</v>
      </c>
      <c r="K37" t="s">
        <v>38</v>
      </c>
      <c r="L37">
        <v>38</v>
      </c>
      <c r="M37">
        <v>11</v>
      </c>
      <c r="N37" t="s">
        <v>21</v>
      </c>
      <c r="O37">
        <v>62</v>
      </c>
      <c r="P37" t="s">
        <v>22</v>
      </c>
    </row>
    <row r="38" spans="1:16" x14ac:dyDescent="0.35">
      <c r="A38" t="s">
        <v>108</v>
      </c>
      <c r="B38" t="s">
        <v>109</v>
      </c>
      <c r="C38">
        <v>56</v>
      </c>
      <c r="D38" t="s">
        <v>18</v>
      </c>
      <c r="E38" t="s">
        <v>42</v>
      </c>
      <c r="F38" s="1">
        <v>43215</v>
      </c>
      <c r="G38" s="1">
        <v>45468</v>
      </c>
      <c r="H38">
        <v>48</v>
      </c>
      <c r="I38">
        <v>8100</v>
      </c>
      <c r="J38">
        <v>168.75</v>
      </c>
      <c r="K38" t="s">
        <v>20</v>
      </c>
      <c r="L38">
        <v>93</v>
      </c>
      <c r="M38">
        <v>39</v>
      </c>
      <c r="N38" t="s">
        <v>33</v>
      </c>
      <c r="O38">
        <v>189</v>
      </c>
      <c r="P38" t="s">
        <v>39</v>
      </c>
    </row>
    <row r="39" spans="1:16" x14ac:dyDescent="0.35">
      <c r="A39" t="s">
        <v>110</v>
      </c>
      <c r="B39" t="s">
        <v>111</v>
      </c>
      <c r="C39">
        <v>29</v>
      </c>
      <c r="D39" t="s">
        <v>25</v>
      </c>
      <c r="E39" t="s">
        <v>37</v>
      </c>
      <c r="F39" s="1">
        <v>45121</v>
      </c>
      <c r="G39" s="1">
        <v>45650</v>
      </c>
      <c r="H39">
        <v>4</v>
      </c>
      <c r="I39">
        <v>200</v>
      </c>
      <c r="J39">
        <v>50</v>
      </c>
      <c r="K39" t="s">
        <v>27</v>
      </c>
      <c r="L39">
        <v>10</v>
      </c>
      <c r="M39">
        <v>2</v>
      </c>
      <c r="N39" t="s">
        <v>44</v>
      </c>
      <c r="O39">
        <v>7</v>
      </c>
      <c r="P39" t="s">
        <v>22</v>
      </c>
    </row>
    <row r="40" spans="1:16" x14ac:dyDescent="0.35">
      <c r="A40" t="s">
        <v>112</v>
      </c>
      <c r="B40" t="s">
        <v>113</v>
      </c>
      <c r="C40">
        <v>34</v>
      </c>
      <c r="D40" t="s">
        <v>18</v>
      </c>
      <c r="E40" t="s">
        <v>31</v>
      </c>
      <c r="F40" s="1">
        <v>44776</v>
      </c>
      <c r="G40" s="1">
        <v>45598</v>
      </c>
      <c r="H40">
        <v>11</v>
      </c>
      <c r="I40">
        <v>700</v>
      </c>
      <c r="J40">
        <v>63.64</v>
      </c>
      <c r="K40" t="s">
        <v>57</v>
      </c>
      <c r="L40">
        <v>24</v>
      </c>
      <c r="M40">
        <v>6</v>
      </c>
      <c r="N40" t="s">
        <v>28</v>
      </c>
      <c r="O40">
        <v>59</v>
      </c>
      <c r="P40" t="s">
        <v>22</v>
      </c>
    </row>
    <row r="41" spans="1:16" x14ac:dyDescent="0.35">
      <c r="A41" t="s">
        <v>114</v>
      </c>
      <c r="B41" t="s">
        <v>115</v>
      </c>
      <c r="C41">
        <v>61</v>
      </c>
      <c r="D41" t="s">
        <v>25</v>
      </c>
      <c r="E41" t="s">
        <v>26</v>
      </c>
      <c r="F41" s="1">
        <v>43140</v>
      </c>
      <c r="G41" s="1">
        <v>45503</v>
      </c>
      <c r="H41">
        <v>58</v>
      </c>
      <c r="I41">
        <v>9800</v>
      </c>
      <c r="J41">
        <v>168.97</v>
      </c>
      <c r="K41" t="s">
        <v>32</v>
      </c>
      <c r="L41">
        <v>97</v>
      </c>
      <c r="M41">
        <v>43</v>
      </c>
      <c r="N41" t="s">
        <v>33</v>
      </c>
      <c r="O41">
        <v>154</v>
      </c>
      <c r="P41" t="s">
        <v>34</v>
      </c>
    </row>
    <row r="42" spans="1:16" x14ac:dyDescent="0.35">
      <c r="A42" t="s">
        <v>116</v>
      </c>
      <c r="B42" t="s">
        <v>117</v>
      </c>
      <c r="C42">
        <v>36</v>
      </c>
      <c r="D42" t="s">
        <v>18</v>
      </c>
      <c r="E42" t="s">
        <v>19</v>
      </c>
      <c r="F42" s="1">
        <v>44466</v>
      </c>
      <c r="G42" s="1">
        <v>45524</v>
      </c>
      <c r="H42">
        <v>15</v>
      </c>
      <c r="I42">
        <v>970</v>
      </c>
      <c r="J42">
        <v>64.67</v>
      </c>
      <c r="K42" t="s">
        <v>20</v>
      </c>
      <c r="L42">
        <v>33</v>
      </c>
      <c r="M42">
        <v>9</v>
      </c>
      <c r="N42" t="s">
        <v>28</v>
      </c>
      <c r="O42">
        <v>133</v>
      </c>
      <c r="P42" t="s">
        <v>39</v>
      </c>
    </row>
    <row r="43" spans="1:16" x14ac:dyDescent="0.35">
      <c r="A43" t="s">
        <v>118</v>
      </c>
      <c r="B43" t="s">
        <v>119</v>
      </c>
      <c r="C43">
        <v>22</v>
      </c>
      <c r="D43" t="s">
        <v>25</v>
      </c>
      <c r="E43" t="s">
        <v>42</v>
      </c>
      <c r="F43" s="1">
        <v>45214</v>
      </c>
      <c r="G43" s="1">
        <v>45655</v>
      </c>
      <c r="H43">
        <v>2</v>
      </c>
      <c r="I43">
        <v>98</v>
      </c>
      <c r="J43">
        <v>49</v>
      </c>
      <c r="K43" t="s">
        <v>38</v>
      </c>
      <c r="L43">
        <v>6</v>
      </c>
      <c r="M43">
        <v>1</v>
      </c>
      <c r="N43" t="s">
        <v>44</v>
      </c>
      <c r="O43">
        <v>2</v>
      </c>
      <c r="P43" t="s">
        <v>22</v>
      </c>
    </row>
    <row r="44" spans="1:16" x14ac:dyDescent="0.35">
      <c r="A44" t="s">
        <v>120</v>
      </c>
      <c r="B44" t="s">
        <v>121</v>
      </c>
      <c r="C44">
        <v>50</v>
      </c>
      <c r="D44" t="s">
        <v>18</v>
      </c>
      <c r="E44" t="s">
        <v>37</v>
      </c>
      <c r="F44" s="1">
        <v>43532</v>
      </c>
      <c r="G44" s="1">
        <v>45427</v>
      </c>
      <c r="H44">
        <v>33</v>
      </c>
      <c r="I44">
        <v>4500</v>
      </c>
      <c r="J44">
        <v>136.36000000000001</v>
      </c>
      <c r="K44" t="s">
        <v>32</v>
      </c>
      <c r="L44">
        <v>82</v>
      </c>
      <c r="M44">
        <v>31</v>
      </c>
      <c r="N44" t="s">
        <v>33</v>
      </c>
      <c r="O44">
        <v>230</v>
      </c>
      <c r="P44" t="s">
        <v>39</v>
      </c>
    </row>
    <row r="45" spans="1:16" x14ac:dyDescent="0.35">
      <c r="A45" t="s">
        <v>122</v>
      </c>
      <c r="B45" t="s">
        <v>123</v>
      </c>
      <c r="C45">
        <v>44</v>
      </c>
      <c r="D45" t="s">
        <v>25</v>
      </c>
      <c r="E45" t="s">
        <v>31</v>
      </c>
      <c r="F45" s="1">
        <v>44033</v>
      </c>
      <c r="G45" s="1">
        <v>45629</v>
      </c>
      <c r="H45">
        <v>23</v>
      </c>
      <c r="I45">
        <v>2550</v>
      </c>
      <c r="J45">
        <v>110.87</v>
      </c>
      <c r="K45" t="s">
        <v>27</v>
      </c>
      <c r="L45">
        <v>55</v>
      </c>
      <c r="M45">
        <v>17</v>
      </c>
      <c r="N45" t="s">
        <v>21</v>
      </c>
      <c r="O45">
        <v>28</v>
      </c>
      <c r="P45" t="s">
        <v>22</v>
      </c>
    </row>
    <row r="46" spans="1:16" x14ac:dyDescent="0.35">
      <c r="A46" t="s">
        <v>124</v>
      </c>
      <c r="B46" t="s">
        <v>125</v>
      </c>
      <c r="C46">
        <v>25</v>
      </c>
      <c r="D46" t="s">
        <v>18</v>
      </c>
      <c r="E46" t="s">
        <v>26</v>
      </c>
      <c r="F46" s="1">
        <v>45231</v>
      </c>
      <c r="G46" s="1">
        <v>45653</v>
      </c>
      <c r="H46">
        <v>3</v>
      </c>
      <c r="I46">
        <v>155</v>
      </c>
      <c r="J46">
        <v>51.67</v>
      </c>
      <c r="K46" t="s">
        <v>57</v>
      </c>
      <c r="L46">
        <v>8</v>
      </c>
      <c r="M46">
        <v>2</v>
      </c>
      <c r="N46" t="s">
        <v>44</v>
      </c>
      <c r="O46">
        <v>4</v>
      </c>
      <c r="P46" t="s">
        <v>22</v>
      </c>
    </row>
    <row r="47" spans="1:16" x14ac:dyDescent="0.35">
      <c r="A47" t="s">
        <v>126</v>
      </c>
      <c r="B47" t="s">
        <v>127</v>
      </c>
      <c r="C47">
        <v>38</v>
      </c>
      <c r="D47" t="s">
        <v>25</v>
      </c>
      <c r="E47" t="s">
        <v>19</v>
      </c>
      <c r="F47" s="1">
        <v>44299</v>
      </c>
      <c r="G47" s="1">
        <v>45553</v>
      </c>
      <c r="H47">
        <v>14</v>
      </c>
      <c r="I47">
        <v>880</v>
      </c>
      <c r="J47">
        <v>62.86</v>
      </c>
      <c r="K47" t="s">
        <v>38</v>
      </c>
      <c r="L47">
        <v>29</v>
      </c>
      <c r="M47">
        <v>8</v>
      </c>
      <c r="N47" t="s">
        <v>28</v>
      </c>
      <c r="O47">
        <v>104</v>
      </c>
      <c r="P47" t="s">
        <v>34</v>
      </c>
    </row>
    <row r="48" spans="1:16" x14ac:dyDescent="0.35">
      <c r="A48" t="s">
        <v>128</v>
      </c>
      <c r="B48" t="s">
        <v>129</v>
      </c>
      <c r="C48">
        <v>53</v>
      </c>
      <c r="D48" t="s">
        <v>18</v>
      </c>
      <c r="E48" t="s">
        <v>42</v>
      </c>
      <c r="F48" s="1">
        <v>43768</v>
      </c>
      <c r="G48" s="1">
        <v>45478</v>
      </c>
      <c r="H48">
        <v>36</v>
      </c>
      <c r="I48">
        <v>5600</v>
      </c>
      <c r="J48">
        <v>155.56</v>
      </c>
      <c r="K48" t="s">
        <v>20</v>
      </c>
      <c r="L48">
        <v>86</v>
      </c>
      <c r="M48">
        <v>33</v>
      </c>
      <c r="N48" t="s">
        <v>33</v>
      </c>
      <c r="O48">
        <v>179</v>
      </c>
      <c r="P48" t="s">
        <v>39</v>
      </c>
    </row>
    <row r="49" spans="1:16" x14ac:dyDescent="0.35">
      <c r="A49" t="s">
        <v>130</v>
      </c>
      <c r="B49" t="s">
        <v>131</v>
      </c>
      <c r="C49">
        <v>30</v>
      </c>
      <c r="D49" t="s">
        <v>25</v>
      </c>
      <c r="E49" t="s">
        <v>37</v>
      </c>
      <c r="F49" s="1">
        <v>44731</v>
      </c>
      <c r="G49" s="1">
        <v>45642</v>
      </c>
      <c r="H49">
        <v>8</v>
      </c>
      <c r="I49">
        <v>460</v>
      </c>
      <c r="J49">
        <v>57.5</v>
      </c>
      <c r="K49" t="s">
        <v>27</v>
      </c>
      <c r="L49">
        <v>18</v>
      </c>
      <c r="M49">
        <v>4</v>
      </c>
      <c r="N49" t="s">
        <v>28</v>
      </c>
      <c r="O49">
        <v>15</v>
      </c>
      <c r="P49" t="s">
        <v>22</v>
      </c>
    </row>
    <row r="50" spans="1:16" x14ac:dyDescent="0.35">
      <c r="A50" t="s">
        <v>132</v>
      </c>
      <c r="B50" t="s">
        <v>133</v>
      </c>
      <c r="C50">
        <v>41</v>
      </c>
      <c r="D50" t="s">
        <v>18</v>
      </c>
      <c r="E50" t="s">
        <v>31</v>
      </c>
      <c r="F50" s="1">
        <v>43875</v>
      </c>
      <c r="G50" s="1">
        <v>45573</v>
      </c>
      <c r="H50">
        <v>20</v>
      </c>
      <c r="I50">
        <v>1780</v>
      </c>
      <c r="J50">
        <v>89</v>
      </c>
      <c r="K50" t="s">
        <v>57</v>
      </c>
      <c r="L50">
        <v>45</v>
      </c>
      <c r="M50">
        <v>13</v>
      </c>
      <c r="N50" t="s">
        <v>21</v>
      </c>
      <c r="O50">
        <v>84</v>
      </c>
      <c r="P50" t="s">
        <v>22</v>
      </c>
    </row>
    <row r="51" spans="1:16" x14ac:dyDescent="0.35">
      <c r="A51" t="s">
        <v>134</v>
      </c>
      <c r="B51" t="s">
        <v>135</v>
      </c>
      <c r="C51">
        <v>26</v>
      </c>
      <c r="D51" t="s">
        <v>25</v>
      </c>
      <c r="E51" t="s">
        <v>26</v>
      </c>
      <c r="F51" s="1">
        <v>44948</v>
      </c>
      <c r="G51" s="1">
        <v>45647</v>
      </c>
      <c r="H51">
        <v>5</v>
      </c>
      <c r="I51">
        <v>240</v>
      </c>
      <c r="J51">
        <v>48</v>
      </c>
      <c r="K51" t="s">
        <v>43</v>
      </c>
      <c r="L51">
        <v>11</v>
      </c>
      <c r="M51">
        <v>3</v>
      </c>
      <c r="N51" t="s">
        <v>44</v>
      </c>
      <c r="O51">
        <v>10</v>
      </c>
      <c r="P51" t="s">
        <v>22</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DF7B-47DA-4EDA-87B6-1A6FB95009DF}">
  <dimension ref="A2:C99"/>
  <sheetViews>
    <sheetView topLeftCell="A65" zoomScale="91" workbookViewId="0">
      <selection activeCell="A82" sqref="A82"/>
    </sheetView>
  </sheetViews>
  <sheetFormatPr defaultRowHeight="14.5" x14ac:dyDescent="0.35"/>
  <cols>
    <col min="1" max="1" width="12.6328125" bestFit="1" customWidth="1"/>
    <col min="2" max="2" width="18.90625" bestFit="1" customWidth="1"/>
  </cols>
  <sheetData>
    <row r="2" spans="1:2" ht="21" x14ac:dyDescent="0.5">
      <c r="A2" s="4" t="s">
        <v>140</v>
      </c>
      <c r="B2" s="4"/>
    </row>
    <row r="3" spans="1:2" x14ac:dyDescent="0.35">
      <c r="A3" s="2" t="s">
        <v>138</v>
      </c>
      <c r="B3" t="s">
        <v>137</v>
      </c>
    </row>
    <row r="4" spans="1:2" x14ac:dyDescent="0.35">
      <c r="A4" s="3" t="s">
        <v>31</v>
      </c>
      <c r="B4" s="14">
        <v>224</v>
      </c>
    </row>
    <row r="5" spans="1:2" x14ac:dyDescent="0.35">
      <c r="A5" s="3" t="s">
        <v>19</v>
      </c>
      <c r="B5" s="14">
        <v>205</v>
      </c>
    </row>
    <row r="6" spans="1:2" x14ac:dyDescent="0.35">
      <c r="A6" s="3" t="s">
        <v>37</v>
      </c>
      <c r="B6" s="14">
        <v>218</v>
      </c>
    </row>
    <row r="7" spans="1:2" x14ac:dyDescent="0.35">
      <c r="A7" s="3" t="s">
        <v>26</v>
      </c>
      <c r="B7" s="14">
        <v>182</v>
      </c>
    </row>
    <row r="8" spans="1:2" x14ac:dyDescent="0.35">
      <c r="A8" s="3" t="s">
        <v>42</v>
      </c>
      <c r="B8" s="14">
        <v>156</v>
      </c>
    </row>
    <row r="9" spans="1:2" x14ac:dyDescent="0.35">
      <c r="A9" s="3" t="s">
        <v>139</v>
      </c>
      <c r="B9" s="14">
        <v>985</v>
      </c>
    </row>
    <row r="19" spans="1:2" ht="21" x14ac:dyDescent="0.5">
      <c r="A19" s="4" t="s">
        <v>141</v>
      </c>
      <c r="B19" s="4"/>
    </row>
    <row r="20" spans="1:2" x14ac:dyDescent="0.35">
      <c r="A20" s="2" t="s">
        <v>138</v>
      </c>
      <c r="B20" t="s">
        <v>136</v>
      </c>
    </row>
    <row r="21" spans="1:2" x14ac:dyDescent="0.35">
      <c r="A21" s="3" t="s">
        <v>44</v>
      </c>
      <c r="B21" s="14">
        <v>2787</v>
      </c>
    </row>
    <row r="22" spans="1:2" x14ac:dyDescent="0.35">
      <c r="A22" s="3" t="s">
        <v>21</v>
      </c>
      <c r="B22" s="14">
        <v>24620.5</v>
      </c>
    </row>
    <row r="23" spans="1:2" x14ac:dyDescent="0.35">
      <c r="A23" s="3" t="s">
        <v>33</v>
      </c>
      <c r="B23" s="14">
        <v>85725</v>
      </c>
    </row>
    <row r="24" spans="1:2" x14ac:dyDescent="0.35">
      <c r="A24" s="3" t="s">
        <v>28</v>
      </c>
      <c r="B24" s="14">
        <v>10560.75</v>
      </c>
    </row>
    <row r="25" spans="1:2" x14ac:dyDescent="0.35">
      <c r="A25" s="3" t="s">
        <v>139</v>
      </c>
      <c r="B25" s="14">
        <v>123693.25</v>
      </c>
    </row>
    <row r="34" spans="1:2" ht="21" x14ac:dyDescent="0.5">
      <c r="A34" s="4" t="s">
        <v>142</v>
      </c>
      <c r="B34" s="4"/>
    </row>
    <row r="35" spans="1:2" x14ac:dyDescent="0.35">
      <c r="A35" s="2" t="s">
        <v>138</v>
      </c>
      <c r="B35" t="s">
        <v>143</v>
      </c>
    </row>
    <row r="36" spans="1:2" x14ac:dyDescent="0.35">
      <c r="A36" s="3" t="s">
        <v>31</v>
      </c>
      <c r="B36" s="14">
        <v>2920</v>
      </c>
    </row>
    <row r="37" spans="1:2" x14ac:dyDescent="0.35">
      <c r="A37" s="3" t="s">
        <v>19</v>
      </c>
      <c r="B37" s="14">
        <v>2186.0500000000002</v>
      </c>
    </row>
    <row r="38" spans="1:2" x14ac:dyDescent="0.35">
      <c r="A38" s="3" t="s">
        <v>37</v>
      </c>
      <c r="B38" s="14">
        <v>2897.0749999999998</v>
      </c>
    </row>
    <row r="39" spans="1:2" x14ac:dyDescent="0.35">
      <c r="A39" s="3" t="s">
        <v>26</v>
      </c>
      <c r="B39" s="14">
        <v>2459</v>
      </c>
    </row>
    <row r="40" spans="1:2" x14ac:dyDescent="0.35">
      <c r="A40" s="3" t="s">
        <v>42</v>
      </c>
      <c r="B40" s="14">
        <v>1907.2</v>
      </c>
    </row>
    <row r="41" spans="1:2" x14ac:dyDescent="0.35">
      <c r="A41" s="3" t="s">
        <v>139</v>
      </c>
      <c r="B41" s="14">
        <v>2473.8649999999998</v>
      </c>
    </row>
    <row r="50" spans="1:2" ht="21" x14ac:dyDescent="0.5">
      <c r="A50" s="4" t="s">
        <v>144</v>
      </c>
      <c r="B50" s="4"/>
    </row>
    <row r="51" spans="1:2" x14ac:dyDescent="0.35">
      <c r="A51" s="2" t="s">
        <v>138</v>
      </c>
      <c r="B51" t="s">
        <v>136</v>
      </c>
    </row>
    <row r="52" spans="1:2" x14ac:dyDescent="0.35">
      <c r="A52" s="3" t="s">
        <v>38</v>
      </c>
      <c r="B52" s="14">
        <v>14378.75</v>
      </c>
    </row>
    <row r="53" spans="1:2" x14ac:dyDescent="0.35">
      <c r="A53" s="3" t="s">
        <v>43</v>
      </c>
      <c r="B53" s="14">
        <v>1264</v>
      </c>
    </row>
    <row r="54" spans="1:2" x14ac:dyDescent="0.35">
      <c r="A54" s="3" t="s">
        <v>27</v>
      </c>
      <c r="B54" s="14">
        <v>12970</v>
      </c>
    </row>
    <row r="55" spans="1:2" x14ac:dyDescent="0.35">
      <c r="A55" s="3" t="s">
        <v>20</v>
      </c>
      <c r="B55" s="14">
        <v>37460.5</v>
      </c>
    </row>
    <row r="56" spans="1:2" x14ac:dyDescent="0.35">
      <c r="A56" s="3" t="s">
        <v>32</v>
      </c>
      <c r="B56" s="14">
        <v>49325</v>
      </c>
    </row>
    <row r="57" spans="1:2" x14ac:dyDescent="0.35">
      <c r="A57" s="3" t="s">
        <v>57</v>
      </c>
      <c r="B57" s="14">
        <v>8295</v>
      </c>
    </row>
    <row r="58" spans="1:2" x14ac:dyDescent="0.35">
      <c r="A58" s="3" t="s">
        <v>139</v>
      </c>
      <c r="B58" s="14">
        <v>123693.25</v>
      </c>
    </row>
    <row r="67" spans="1:2" ht="21" x14ac:dyDescent="0.5">
      <c r="A67" s="4" t="s">
        <v>145</v>
      </c>
      <c r="B67" s="4"/>
    </row>
    <row r="68" spans="1:2" x14ac:dyDescent="0.35">
      <c r="A68" s="2" t="s">
        <v>138</v>
      </c>
      <c r="B68" t="s">
        <v>146</v>
      </c>
    </row>
    <row r="69" spans="1:2" x14ac:dyDescent="0.35">
      <c r="A69" s="3" t="s">
        <v>39</v>
      </c>
      <c r="B69" s="14">
        <v>13</v>
      </c>
    </row>
    <row r="70" spans="1:2" x14ac:dyDescent="0.35">
      <c r="A70" s="3" t="s">
        <v>22</v>
      </c>
      <c r="B70" s="14">
        <v>31</v>
      </c>
    </row>
    <row r="71" spans="1:2" x14ac:dyDescent="0.35">
      <c r="A71" s="3" t="s">
        <v>34</v>
      </c>
      <c r="B71" s="14">
        <v>6</v>
      </c>
    </row>
    <row r="72" spans="1:2" x14ac:dyDescent="0.35">
      <c r="A72" s="3" t="s">
        <v>139</v>
      </c>
      <c r="B72" s="14">
        <v>50</v>
      </c>
    </row>
    <row r="82" spans="1:3" x14ac:dyDescent="0.35">
      <c r="A82" s="5"/>
      <c r="B82" s="6"/>
      <c r="C82" s="7"/>
    </row>
    <row r="83" spans="1:3" x14ac:dyDescent="0.35">
      <c r="A83" s="8"/>
      <c r="B83" s="9"/>
      <c r="C83" s="10"/>
    </row>
    <row r="84" spans="1:3" x14ac:dyDescent="0.35">
      <c r="A84" s="8"/>
      <c r="B84" s="9"/>
      <c r="C84" s="10"/>
    </row>
    <row r="85" spans="1:3" x14ac:dyDescent="0.35">
      <c r="A85" s="8"/>
      <c r="B85" s="9"/>
      <c r="C85" s="10"/>
    </row>
    <row r="86" spans="1:3" x14ac:dyDescent="0.35">
      <c r="A86" s="8"/>
      <c r="B86" s="9"/>
      <c r="C86" s="10"/>
    </row>
    <row r="87" spans="1:3" x14ac:dyDescent="0.35">
      <c r="A87" s="8"/>
      <c r="B87" s="9"/>
      <c r="C87" s="10"/>
    </row>
    <row r="88" spans="1:3" x14ac:dyDescent="0.35">
      <c r="A88" s="8"/>
      <c r="B88" s="9"/>
      <c r="C88" s="10"/>
    </row>
    <row r="89" spans="1:3" x14ac:dyDescent="0.35">
      <c r="A89" s="8"/>
      <c r="B89" s="9"/>
      <c r="C89" s="10"/>
    </row>
    <row r="90" spans="1:3" x14ac:dyDescent="0.35">
      <c r="A90" s="8"/>
      <c r="B90" s="9"/>
      <c r="C90" s="10"/>
    </row>
    <row r="91" spans="1:3" x14ac:dyDescent="0.35">
      <c r="A91" s="8"/>
      <c r="B91" s="9"/>
      <c r="C91" s="10"/>
    </row>
    <row r="92" spans="1:3" x14ac:dyDescent="0.35">
      <c r="A92" s="8"/>
      <c r="B92" s="9"/>
      <c r="C92" s="10"/>
    </row>
    <row r="93" spans="1:3" x14ac:dyDescent="0.35">
      <c r="A93" s="8"/>
      <c r="B93" s="9"/>
      <c r="C93" s="10"/>
    </row>
    <row r="94" spans="1:3" x14ac:dyDescent="0.35">
      <c r="A94" s="8"/>
      <c r="B94" s="9"/>
      <c r="C94" s="10"/>
    </row>
    <row r="95" spans="1:3" x14ac:dyDescent="0.35">
      <c r="A95" s="8"/>
      <c r="B95" s="9"/>
      <c r="C95" s="10"/>
    </row>
    <row r="96" spans="1:3" x14ac:dyDescent="0.35">
      <c r="A96" s="8"/>
      <c r="B96" s="9"/>
      <c r="C96" s="10"/>
    </row>
    <row r="97" spans="1:3" x14ac:dyDescent="0.35">
      <c r="A97" s="8"/>
      <c r="B97" s="9"/>
      <c r="C97" s="10"/>
    </row>
    <row r="98" spans="1:3" x14ac:dyDescent="0.35">
      <c r="A98" s="8"/>
      <c r="B98" s="9"/>
      <c r="C98" s="10"/>
    </row>
    <row r="99" spans="1:3" x14ac:dyDescent="0.35">
      <c r="A99" s="11"/>
      <c r="B99" s="12"/>
      <c r="C99" s="13"/>
    </row>
  </sheetData>
  <mergeCells count="5">
    <mergeCell ref="A2:B2"/>
    <mergeCell ref="A19:B19"/>
    <mergeCell ref="A34:B34"/>
    <mergeCell ref="A50:B50"/>
    <mergeCell ref="A67:B67"/>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7CE49-30D7-4CC3-AA0D-FB951F53A907}">
  <dimension ref="A9:P10"/>
  <sheetViews>
    <sheetView showGridLines="0" topLeftCell="A4" zoomScale="60" workbookViewId="0">
      <selection activeCell="V11" sqref="V11"/>
    </sheetView>
  </sheetViews>
  <sheetFormatPr defaultRowHeight="14.5" x14ac:dyDescent="0.35"/>
  <cols>
    <col min="16" max="16" width="10.6328125" customWidth="1"/>
  </cols>
  <sheetData>
    <row r="9" spans="1:16" ht="14.5" customHeight="1" x14ac:dyDescent="0.35">
      <c r="A9" s="15" t="s">
        <v>147</v>
      </c>
      <c r="B9" s="15"/>
      <c r="C9" s="15"/>
      <c r="D9" s="15"/>
      <c r="E9" s="15"/>
      <c r="F9" s="15"/>
      <c r="G9" s="15"/>
      <c r="H9" s="15"/>
      <c r="I9" s="15"/>
      <c r="J9" s="15"/>
      <c r="K9" s="15"/>
      <c r="L9" s="15"/>
      <c r="M9" s="15"/>
      <c r="N9" s="15"/>
      <c r="O9" s="15"/>
      <c r="P9" s="15"/>
    </row>
    <row r="10" spans="1:16" ht="14.5" customHeight="1" x14ac:dyDescent="0.35">
      <c r="A10" s="15"/>
      <c r="B10" s="15"/>
      <c r="C10" s="15"/>
      <c r="D10" s="15"/>
      <c r="E10" s="15"/>
      <c r="F10" s="15"/>
      <c r="G10" s="15"/>
      <c r="H10" s="15"/>
      <c r="I10" s="15"/>
      <c r="J10" s="15"/>
      <c r="K10" s="15"/>
      <c r="L10" s="15"/>
      <c r="M10" s="15"/>
      <c r="N10" s="15"/>
      <c r="O10" s="15"/>
      <c r="P10" s="15"/>
    </row>
  </sheetData>
  <mergeCells count="1">
    <mergeCell ref="A9:P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05032E-658B-4DFE-81F8-6334332D15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clean_customer_data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20CE023 KAVIRAJ KAVIRAJ</dc:creator>
  <cp:lastModifiedBy>20CE023 KAVIRAJ KAVIRAJ</cp:lastModifiedBy>
  <dcterms:created xsi:type="dcterms:W3CDTF">2026-03-30T10:20:38Z</dcterms:created>
  <dcterms:modified xsi:type="dcterms:W3CDTF">2026-04-02T21:04:19Z</dcterms:modified>
</cp:coreProperties>
</file>